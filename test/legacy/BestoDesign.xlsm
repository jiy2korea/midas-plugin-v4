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Cursor Projects\Midas Plugin V4\test\legacy\"/>
    </mc:Choice>
  </mc:AlternateContent>
  <xr:revisionPtr revIDLastSave="0" documentId="13_ncr:1_{C7DC0FE6-1A15-4B63-A874-0A4E19406F4C}" xr6:coauthVersionLast="47" xr6:coauthVersionMax="47" xr10:uidLastSave="{00000000-0000-0000-0000-000000000000}"/>
  <bookViews>
    <workbookView xWindow="28680" yWindow="-45" windowWidth="29040" windowHeight="15720" xr2:uid="{C3C6CA4F-164A-4C3E-AB16-4DF1F8A5C718}"/>
  </bookViews>
  <sheets>
    <sheet name="design" sheetId="4" r:id="rId1"/>
  </sheets>
  <definedNames>
    <definedName name="_xlnm.Print_Area" localSheetId="0">design!$B$2:$CJ$54</definedName>
    <definedName name="계단" localSheetId="0">design!$AH$122:$AH$123</definedName>
    <definedName name="계단">#REF!</definedName>
    <definedName name="공장" localSheetId="0">design!$AH$110:$AH$111</definedName>
    <definedName name="공장">#REF!</definedName>
    <definedName name="광장" localSheetId="0">design!$AH$118</definedName>
    <definedName name="광장">#REF!</definedName>
    <definedName name="기계실" localSheetId="0">design!$AH$117</definedName>
    <definedName name="기계실">#REF!</definedName>
    <definedName name="도서관" localSheetId="0">design!$AH$100:$AH$102</definedName>
    <definedName name="도서관">#REF!</definedName>
    <definedName name="로비및복도" localSheetId="0">design!$AH$120:$AH$121</definedName>
    <definedName name="로비및복도">#REF!</definedName>
    <definedName name="발코니" localSheetId="0">design!$AH$119</definedName>
    <definedName name="발코니">#REF!</definedName>
    <definedName name="병원" localSheetId="0">design!$AH$74:$AH$76</definedName>
    <definedName name="병원">#REF!</definedName>
    <definedName name="사무실" localSheetId="0">design!$AH$79:$AH$82</definedName>
    <definedName name="사무실">#REF!</definedName>
    <definedName name="숙박시설" localSheetId="0">design!$AH$77:$AH$78</definedName>
    <definedName name="숙박시설">#REF!</definedName>
    <definedName name="주차장및옥외차도" localSheetId="0">design!$AH$103:$AH$107</definedName>
    <definedName name="주차장및옥외차도">#REF!</definedName>
    <definedName name="주택" localSheetId="0">design!$AH$72:$AH$73</definedName>
    <definedName name="주택">#REF!</definedName>
    <definedName name="지붕" localSheetId="0">design!$AH$112:$AH$116</definedName>
    <definedName name="지붕">#REF!</definedName>
    <definedName name="집회및유흥장" localSheetId="0">design!$AH$90:$AH$96</definedName>
    <definedName name="집회및유흥장">#REF!</definedName>
    <definedName name="창고" localSheetId="0">design!$AH$108:$AH$109</definedName>
    <definedName name="창고">#REF!</definedName>
    <definedName name="체육시설" localSheetId="0">design!$AH$97:$AH$99</definedName>
    <definedName name="체육시설">#REF!</definedName>
    <definedName name="판매장" localSheetId="0">design!$AH$87:$AH$89</definedName>
    <definedName name="판매장">#REF!</definedName>
    <definedName name="판매점" localSheetId="0">design!$AH$87:$AH$89</definedName>
    <definedName name="판매점">#REF!</definedName>
    <definedName name="학교" localSheetId="0">design!$AH$83:$AH$86</definedName>
    <definedName name="학교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L15" i="4" l="1"/>
  <c r="CN15" i="4" s="1"/>
  <c r="CL13" i="4"/>
  <c r="CN13" i="4" s="1"/>
  <c r="CM20" i="4"/>
  <c r="CN14" i="4"/>
  <c r="CL11" i="4"/>
  <c r="CL20" i="4" s="1"/>
  <c r="CL10" i="4"/>
  <c r="CN10" i="4" s="1"/>
  <c r="CL16" i="4"/>
  <c r="CN16" i="4" s="1"/>
  <c r="CL12" i="4"/>
  <c r="CN12" i="4" s="1"/>
  <c r="CL9" i="4"/>
  <c r="CN9" i="4" s="1"/>
  <c r="CL8" i="4"/>
  <c r="CN8" i="4" s="1"/>
  <c r="CL7" i="4"/>
  <c r="CN7" i="4" s="1"/>
  <c r="CD30" i="4"/>
  <c r="CG30" i="4" s="1"/>
  <c r="CD39" i="4"/>
  <c r="CG39" i="4" s="1"/>
  <c r="BP26" i="4"/>
  <c r="CD22" i="4"/>
  <c r="CG22" i="4" s="1"/>
  <c r="CD16" i="4"/>
  <c r="CG16" i="4" s="1"/>
  <c r="BA42" i="4"/>
  <c r="BD42" i="4" s="1"/>
  <c r="BA35" i="4"/>
  <c r="BD35" i="4" s="1"/>
  <c r="BA26" i="4"/>
  <c r="BD26" i="4" s="1"/>
  <c r="BA19" i="4"/>
  <c r="BD19" i="4" s="1"/>
  <c r="BA12" i="4"/>
  <c r="BD12" i="4" s="1"/>
  <c r="CD10" i="4"/>
  <c r="CG10" i="4" s="1"/>
  <c r="CG49" i="4"/>
  <c r="CG47" i="4"/>
  <c r="CD44" i="4"/>
  <c r="CG44" i="4" s="1"/>
  <c r="CD43" i="4"/>
  <c r="CG43" i="4" s="1"/>
  <c r="Z18" i="4"/>
  <c r="BP12" i="4"/>
  <c r="BZ8" i="4"/>
  <c r="BA49" i="4"/>
  <c r="BD49" i="4" s="1"/>
  <c r="CN11" i="4" l="1"/>
</calcChain>
</file>

<file path=xl/sharedStrings.xml><?xml version="1.0" encoding="utf-8"?>
<sst xmlns="http://schemas.openxmlformats.org/spreadsheetml/2006/main" count="628" uniqueCount="346">
  <si>
    <t>INPUT</t>
    <phoneticPr fontId="2" type="noConversion"/>
  </si>
  <si>
    <t>CHECK</t>
    <phoneticPr fontId="2" type="noConversion"/>
  </si>
  <si>
    <t>1.</t>
    <phoneticPr fontId="2" type="noConversion"/>
  </si>
  <si>
    <t>Section</t>
    <phoneticPr fontId="2" type="noConversion"/>
  </si>
  <si>
    <t>Construction Stage</t>
    <phoneticPr fontId="2" type="noConversion"/>
  </si>
  <si>
    <t>2.</t>
    <phoneticPr fontId="2" type="noConversion"/>
  </si>
  <si>
    <t>Composite Stage</t>
    <phoneticPr fontId="2" type="noConversion"/>
  </si>
  <si>
    <t>1-1</t>
    <phoneticPr fontId="2" type="noConversion"/>
  </si>
  <si>
    <t>BESTO Beam</t>
    <phoneticPr fontId="2" type="noConversion"/>
  </si>
  <si>
    <t>1-2</t>
    <phoneticPr fontId="2" type="noConversion"/>
  </si>
  <si>
    <t>H Braket</t>
    <phoneticPr fontId="2" type="noConversion"/>
  </si>
  <si>
    <t>H-692X300X13X20</t>
  </si>
  <si>
    <t>1-3</t>
    <phoneticPr fontId="2" type="noConversion"/>
  </si>
  <si>
    <t>Slab</t>
    <phoneticPr fontId="2" type="noConversion"/>
  </si>
  <si>
    <t>1-1.</t>
    <phoneticPr fontId="2" type="noConversion"/>
  </si>
  <si>
    <r>
      <t xml:space="preserve">U-section </t>
    </r>
    <r>
      <rPr>
        <sz val="11"/>
        <color theme="1"/>
        <rFont val="맑은 고딕"/>
        <family val="3"/>
        <charset val="129"/>
        <scheme val="minor"/>
      </rPr>
      <t>(KDS 14 31 10)</t>
    </r>
    <phoneticPr fontId="2" type="noConversion"/>
  </si>
  <si>
    <t>2-1.</t>
    <phoneticPr fontId="2" type="noConversion"/>
  </si>
  <si>
    <r>
      <t xml:space="preserve">composite U-section </t>
    </r>
    <r>
      <rPr>
        <sz val="11"/>
        <color theme="1"/>
        <rFont val="맑은 고딕"/>
        <family val="3"/>
        <charset val="129"/>
        <scheme val="minor"/>
      </rPr>
      <t>(KDS 41 30 20)</t>
    </r>
    <phoneticPr fontId="2" type="noConversion"/>
  </si>
  <si>
    <r>
      <t>H</t>
    </r>
    <r>
      <rPr>
        <vertAlign val="subscript"/>
        <sz val="11"/>
        <color theme="1"/>
        <rFont val="맑은 고딕"/>
        <family val="3"/>
        <charset val="129"/>
        <scheme val="minor"/>
      </rPr>
      <t>u</t>
    </r>
    <phoneticPr fontId="2" type="noConversion"/>
  </si>
  <si>
    <t>=</t>
    <phoneticPr fontId="2" type="noConversion"/>
  </si>
  <si>
    <t>mm</t>
    <phoneticPr fontId="2" type="noConversion"/>
  </si>
  <si>
    <r>
      <t>H</t>
    </r>
    <r>
      <rPr>
        <vertAlign val="subscript"/>
        <sz val="11"/>
        <color theme="1"/>
        <rFont val="맑은 고딕"/>
        <family val="3"/>
        <charset val="129"/>
        <scheme val="minor"/>
      </rPr>
      <t>s</t>
    </r>
    <phoneticPr fontId="2" type="noConversion"/>
  </si>
  <si>
    <t>ds</t>
    <phoneticPr fontId="2" type="noConversion"/>
  </si>
  <si>
    <t>1)</t>
    <phoneticPr fontId="2" type="noConversion"/>
  </si>
  <si>
    <t>Positive Bending (4.3.2.1.1.6 약축 휨을 받는 H형강 또는 ㄷ형강 부재)</t>
    <phoneticPr fontId="2" type="noConversion"/>
  </si>
  <si>
    <t>Positive Bending (4.1.3.2 강재앵커(전단연결재)를 갖는 합성보)</t>
    <phoneticPr fontId="2" type="noConversion"/>
  </si>
  <si>
    <r>
      <t>B</t>
    </r>
    <r>
      <rPr>
        <vertAlign val="subscript"/>
        <sz val="11"/>
        <color theme="1"/>
        <rFont val="맑은 고딕"/>
        <family val="3"/>
        <charset val="129"/>
        <scheme val="minor"/>
      </rPr>
      <t>u</t>
    </r>
    <phoneticPr fontId="2" type="noConversion"/>
  </si>
  <si>
    <r>
      <t>B</t>
    </r>
    <r>
      <rPr>
        <vertAlign val="subscript"/>
        <sz val="11"/>
        <color theme="1"/>
        <rFont val="맑은 고딕"/>
        <family val="3"/>
        <charset val="129"/>
        <scheme val="minor"/>
      </rPr>
      <t>s</t>
    </r>
    <phoneticPr fontId="2" type="noConversion"/>
  </si>
  <si>
    <t>1-4</t>
    <phoneticPr fontId="2" type="noConversion"/>
  </si>
  <si>
    <t>ReBar</t>
    <phoneticPr fontId="2" type="noConversion"/>
  </si>
  <si>
    <t>(1)</t>
    <phoneticPr fontId="2" type="noConversion"/>
  </si>
  <si>
    <t>항복강도</t>
    <phoneticPr fontId="2" type="noConversion"/>
  </si>
  <si>
    <t>Mn=My=FySx=</t>
    <phoneticPr fontId="2" type="noConversion"/>
  </si>
  <si>
    <t>kN-m</t>
    <phoneticPr fontId="2" type="noConversion"/>
  </si>
  <si>
    <r>
      <rPr>
        <sz val="11"/>
        <color theme="1"/>
        <rFont val="맑은 고딕"/>
        <family val="3"/>
        <charset val="129"/>
      </rPr>
      <t xml:space="preserve">※ </t>
    </r>
    <r>
      <rPr>
        <sz val="11"/>
        <color theme="1"/>
        <rFont val="맑은 고딕"/>
        <family val="2"/>
        <charset val="129"/>
        <scheme val="minor"/>
      </rPr>
      <t>시공시 탄성강도 검토</t>
    </r>
    <phoneticPr fontId="2" type="noConversion"/>
  </si>
  <si>
    <t>웨브 h/tw=</t>
    <phoneticPr fontId="2" type="noConversion"/>
  </si>
  <si>
    <t>=&gt;</t>
    <phoneticPr fontId="2" type="noConversion"/>
  </si>
  <si>
    <t>Composite Ratio=</t>
    <phoneticPr fontId="2" type="noConversion"/>
  </si>
  <si>
    <t>%</t>
    <phoneticPr fontId="2" type="noConversion"/>
  </si>
  <si>
    <r>
      <t>B</t>
    </r>
    <r>
      <rPr>
        <vertAlign val="subscript"/>
        <sz val="11"/>
        <color theme="1"/>
        <rFont val="맑은 고딕"/>
        <family val="3"/>
        <charset val="129"/>
        <scheme val="minor"/>
      </rPr>
      <t>tf</t>
    </r>
    <phoneticPr fontId="2" type="noConversion"/>
  </si>
  <si>
    <r>
      <t>t</t>
    </r>
    <r>
      <rPr>
        <vertAlign val="subscript"/>
        <sz val="11"/>
        <color theme="1"/>
        <rFont val="맑은 고딕"/>
        <family val="3"/>
        <charset val="129"/>
        <scheme val="minor"/>
      </rPr>
      <t>w</t>
    </r>
    <phoneticPr fontId="2" type="noConversion"/>
  </si>
  <si>
    <t>Top</t>
    <phoneticPr fontId="2" type="noConversion"/>
  </si>
  <si>
    <t>- D</t>
    <phoneticPr fontId="2" type="noConversion"/>
  </si>
  <si>
    <t>(2)</t>
    <phoneticPr fontId="2" type="noConversion"/>
  </si>
  <si>
    <t>플랜지 국부좌굴 검토</t>
    <phoneticPr fontId="2" type="noConversion"/>
  </si>
  <si>
    <t>Check</t>
    <phoneticPr fontId="2" type="noConversion"/>
  </si>
  <si>
    <t>t</t>
    <phoneticPr fontId="2" type="noConversion"/>
  </si>
  <si>
    <r>
      <t>t</t>
    </r>
    <r>
      <rPr>
        <vertAlign val="subscript"/>
        <sz val="11"/>
        <color theme="1"/>
        <rFont val="맑은 고딕"/>
        <family val="3"/>
        <charset val="129"/>
        <scheme val="minor"/>
      </rPr>
      <t>f</t>
    </r>
    <phoneticPr fontId="2" type="noConversion"/>
  </si>
  <si>
    <t>Bottom</t>
    <phoneticPr fontId="2" type="noConversion"/>
  </si>
  <si>
    <t>-</t>
    <phoneticPr fontId="2" type="noConversion"/>
  </si>
  <si>
    <t>상부플랜지</t>
    <phoneticPr fontId="2" type="noConversion"/>
  </si>
  <si>
    <t>λ =</t>
  </si>
  <si>
    <r>
      <t>λ</t>
    </r>
    <r>
      <rPr>
        <vertAlign val="subscript"/>
        <sz val="10"/>
        <color theme="1"/>
        <rFont val="맑은 고딕"/>
        <family val="3"/>
        <charset val="129"/>
      </rPr>
      <t>p</t>
    </r>
    <r>
      <rPr>
        <sz val="10"/>
        <color theme="1"/>
        <rFont val="맑은 고딕"/>
        <family val="3"/>
        <charset val="129"/>
      </rPr>
      <t xml:space="preserve"> = </t>
    </r>
    <phoneticPr fontId="10" type="noConversion"/>
  </si>
  <si>
    <r>
      <t>λ</t>
    </r>
    <r>
      <rPr>
        <vertAlign val="subscript"/>
        <sz val="10"/>
        <color theme="1"/>
        <rFont val="맑은 고딕"/>
        <family val="3"/>
        <charset val="129"/>
      </rPr>
      <t>r</t>
    </r>
    <r>
      <rPr>
        <sz val="10"/>
        <color theme="1"/>
        <rFont val="맑은 고딕"/>
        <family val="3"/>
        <charset val="129"/>
      </rPr>
      <t xml:space="preserve"> = </t>
    </r>
    <phoneticPr fontId="10" type="noConversion"/>
  </si>
  <si>
    <t>Compact</t>
    <phoneticPr fontId="2" type="noConversion"/>
  </si>
  <si>
    <t>Mu=</t>
    <phoneticPr fontId="2" type="noConversion"/>
  </si>
  <si>
    <r>
      <rPr>
        <sz val="11"/>
        <color theme="1"/>
        <rFont val="Calibri"/>
        <family val="2"/>
        <charset val="161"/>
      </rPr>
      <t>φ</t>
    </r>
    <r>
      <rPr>
        <sz val="11"/>
        <color theme="1"/>
        <rFont val="맑은 고딕"/>
        <family val="2"/>
        <charset val="129"/>
        <scheme val="minor"/>
      </rPr>
      <t>Mn=</t>
    </r>
    <phoneticPr fontId="2" type="noConversion"/>
  </si>
  <si>
    <r>
      <rPr>
        <sz val="11"/>
        <color theme="1"/>
        <rFont val="맑은 고딕"/>
        <family val="3"/>
        <charset val="129"/>
        <scheme val="minor"/>
      </rPr>
      <t>Mu/</t>
    </r>
    <r>
      <rPr>
        <sz val="11"/>
        <color theme="1"/>
        <rFont val="Calibri"/>
        <family val="3"/>
        <charset val="161"/>
      </rPr>
      <t>φ</t>
    </r>
    <r>
      <rPr>
        <sz val="11"/>
        <color theme="1"/>
        <rFont val="맑은 고딕"/>
        <family val="3"/>
        <charset val="129"/>
        <scheme val="minor"/>
      </rPr>
      <t>Mn=</t>
    </r>
    <phoneticPr fontId="2" type="noConversion"/>
  </si>
  <si>
    <r>
      <t>W</t>
    </r>
    <r>
      <rPr>
        <vertAlign val="subscript"/>
        <sz val="11"/>
        <color theme="1"/>
        <rFont val="맑은 고딕"/>
        <family val="3"/>
        <charset val="129"/>
        <scheme val="minor"/>
      </rPr>
      <t>u</t>
    </r>
    <phoneticPr fontId="2" type="noConversion"/>
  </si>
  <si>
    <t>kg/m</t>
    <phoneticPr fontId="2" type="noConversion"/>
  </si>
  <si>
    <r>
      <t>L</t>
    </r>
    <r>
      <rPr>
        <vertAlign val="subscript"/>
        <sz val="11"/>
        <color theme="1"/>
        <rFont val="맑은 고딕"/>
        <family val="3"/>
        <charset val="129"/>
        <scheme val="minor"/>
      </rPr>
      <t>H</t>
    </r>
    <phoneticPr fontId="2" type="noConversion"/>
  </si>
  <si>
    <t>1-5</t>
    <phoneticPr fontId="2" type="noConversion"/>
  </si>
  <si>
    <t>Shear Connector</t>
    <phoneticPr fontId="2" type="noConversion"/>
  </si>
  <si>
    <t>(3)</t>
    <phoneticPr fontId="2" type="noConversion"/>
  </si>
  <si>
    <t>2)</t>
    <phoneticPr fontId="2" type="noConversion"/>
  </si>
  <si>
    <t>Negative Bending (4.1.3.2 강재앵커(전단연결재)를 갖는 합성보)</t>
    <phoneticPr fontId="2" type="noConversion"/>
  </si>
  <si>
    <r>
      <t>S</t>
    </r>
    <r>
      <rPr>
        <vertAlign val="subscript"/>
        <sz val="11"/>
        <color theme="1"/>
        <rFont val="맑은 고딕"/>
        <family val="3"/>
        <charset val="129"/>
        <scheme val="minor"/>
      </rPr>
      <t>stud</t>
    </r>
    <phoneticPr fontId="2" type="noConversion"/>
  </si>
  <si>
    <t>판폭두께비</t>
    <phoneticPr fontId="2" type="noConversion"/>
  </si>
  <si>
    <r>
      <t>S</t>
    </r>
    <r>
      <rPr>
        <vertAlign val="subscript"/>
        <sz val="11"/>
        <color theme="1"/>
        <rFont val="맑은 고딕"/>
        <family val="3"/>
        <charset val="129"/>
        <scheme val="minor"/>
      </rPr>
      <t>angle</t>
    </r>
    <phoneticPr fontId="2" type="noConversion"/>
  </si>
  <si>
    <t>웨브</t>
    <phoneticPr fontId="2" type="noConversion"/>
  </si>
  <si>
    <t>Negative Bending (4.3.2.1.1.6 약축 휨을 받는 H형강 또는 ㄷ형강 부재)</t>
    <phoneticPr fontId="2" type="noConversion"/>
  </si>
  <si>
    <t>하부플랜지</t>
    <phoneticPr fontId="2" type="noConversion"/>
  </si>
  <si>
    <t>Slender</t>
    <phoneticPr fontId="2" type="noConversion"/>
  </si>
  <si>
    <t>Material</t>
    <phoneticPr fontId="2" type="noConversion"/>
  </si>
  <si>
    <t>3.</t>
    <phoneticPr fontId="2" type="noConversion"/>
  </si>
  <si>
    <t>Design Conditions</t>
    <phoneticPr fontId="2" type="noConversion"/>
  </si>
  <si>
    <t>4.</t>
    <phoneticPr fontId="2" type="noConversion"/>
  </si>
  <si>
    <t>Design Loads(처짐)</t>
    <phoneticPr fontId="2" type="noConversion"/>
  </si>
  <si>
    <t>Steel</t>
    <phoneticPr fontId="2" type="noConversion"/>
  </si>
  <si>
    <r>
      <t>F</t>
    </r>
    <r>
      <rPr>
        <vertAlign val="subscript"/>
        <sz val="11"/>
        <color theme="1"/>
        <rFont val="맑은 고딕"/>
        <family val="3"/>
        <charset val="129"/>
        <scheme val="minor"/>
      </rPr>
      <t>y</t>
    </r>
    <r>
      <rPr>
        <sz val="11"/>
        <color theme="1"/>
        <rFont val="맑은 고딕"/>
        <family val="3"/>
        <charset val="129"/>
        <scheme val="minor"/>
      </rPr>
      <t>_U</t>
    </r>
    <phoneticPr fontId="2" type="noConversion"/>
  </si>
  <si>
    <t>SM355</t>
  </si>
  <si>
    <t>End Condition:</t>
    <phoneticPr fontId="2" type="noConversion"/>
  </si>
  <si>
    <t>FixedEnd</t>
  </si>
  <si>
    <t>시공활하중</t>
    <phoneticPr fontId="2" type="noConversion"/>
  </si>
  <si>
    <r>
      <t>kN/m</t>
    </r>
    <r>
      <rPr>
        <vertAlign val="superscript"/>
        <sz val="11"/>
        <color theme="1"/>
        <rFont val="맑은 고딕"/>
        <family val="3"/>
        <charset val="129"/>
        <scheme val="minor"/>
      </rPr>
      <t>2</t>
    </r>
    <phoneticPr fontId="2" type="noConversion"/>
  </si>
  <si>
    <r>
      <t>F</t>
    </r>
    <r>
      <rPr>
        <vertAlign val="subscript"/>
        <sz val="11"/>
        <color theme="1"/>
        <rFont val="맑은 고딕"/>
        <family val="3"/>
        <charset val="129"/>
        <scheme val="minor"/>
      </rPr>
      <t>y</t>
    </r>
    <r>
      <rPr>
        <sz val="11"/>
        <color theme="1"/>
        <rFont val="맑은 고딕"/>
        <family val="3"/>
        <charset val="129"/>
        <scheme val="minor"/>
      </rPr>
      <t>_H</t>
    </r>
    <phoneticPr fontId="2" type="noConversion"/>
  </si>
  <si>
    <t>Beam Support:</t>
    <phoneticPr fontId="2" type="noConversion"/>
  </si>
  <si>
    <t>마감하중</t>
    <phoneticPr fontId="2" type="noConversion"/>
  </si>
  <si>
    <t>3)</t>
    <phoneticPr fontId="2" type="noConversion"/>
  </si>
  <si>
    <t>Shear (4.1.4.1 충전형 및 매입형 합성부재)</t>
    <phoneticPr fontId="2" type="noConversion"/>
  </si>
  <si>
    <r>
      <t>E</t>
    </r>
    <r>
      <rPr>
        <vertAlign val="subscript"/>
        <sz val="11"/>
        <color theme="1"/>
        <rFont val="맑은 고딕"/>
        <family val="3"/>
        <charset val="129"/>
        <scheme val="minor"/>
      </rPr>
      <t>s</t>
    </r>
    <phoneticPr fontId="2" type="noConversion"/>
  </si>
  <si>
    <r>
      <t>N/mm</t>
    </r>
    <r>
      <rPr>
        <vertAlign val="superscript"/>
        <sz val="11"/>
        <color theme="1"/>
        <rFont val="맑은 고딕"/>
        <family val="3"/>
        <charset val="129"/>
        <scheme val="minor"/>
      </rPr>
      <t>2</t>
    </r>
    <phoneticPr fontId="2" type="noConversion"/>
  </si>
  <si>
    <t>용도(진동검토)</t>
    <phoneticPr fontId="2" type="noConversion"/>
  </si>
  <si>
    <t>사무실</t>
  </si>
  <si>
    <t>활하중</t>
    <phoneticPr fontId="2" type="noConversion"/>
  </si>
  <si>
    <t>전단항복강도</t>
    <phoneticPr fontId="2" type="noConversion"/>
  </si>
  <si>
    <t>Vn=0.6FyAw=</t>
    <phoneticPr fontId="2" type="noConversion"/>
  </si>
  <si>
    <t>kN</t>
    <phoneticPr fontId="2" type="noConversion"/>
  </si>
  <si>
    <t>Concrete</t>
    <phoneticPr fontId="2" type="noConversion"/>
  </si>
  <si>
    <r>
      <t>f</t>
    </r>
    <r>
      <rPr>
        <vertAlign val="subscript"/>
        <sz val="11"/>
        <color theme="1"/>
        <rFont val="맑은 고딕"/>
        <family val="3"/>
        <charset val="129"/>
        <scheme val="minor"/>
      </rPr>
      <t>ck</t>
    </r>
    <phoneticPr fontId="2" type="noConversion"/>
  </si>
  <si>
    <t>전단좌굴감소계수</t>
    <phoneticPr fontId="2" type="noConversion"/>
  </si>
  <si>
    <t>Cv=</t>
    <phoneticPr fontId="2" type="noConversion"/>
  </si>
  <si>
    <r>
      <t>f</t>
    </r>
    <r>
      <rPr>
        <vertAlign val="subscript"/>
        <sz val="11"/>
        <color theme="1"/>
        <rFont val="맑은 고딕"/>
        <family val="3"/>
        <charset val="129"/>
        <scheme val="minor"/>
      </rPr>
      <t>yr</t>
    </r>
    <phoneticPr fontId="2" type="noConversion"/>
  </si>
  <si>
    <t>일반 사무실</t>
  </si>
  <si>
    <t>h/tw=</t>
    <phoneticPr fontId="2" type="noConversion"/>
  </si>
  <si>
    <t>Shear (4.3.2.1.2.2 웨브가 수직보강재에 의해 보강 또는 보강되지 않은 부재 )</t>
    <phoneticPr fontId="2" type="noConversion"/>
  </si>
  <si>
    <t>Vu=</t>
    <phoneticPr fontId="2" type="noConversion"/>
  </si>
  <si>
    <r>
      <rPr>
        <sz val="11"/>
        <color theme="1"/>
        <rFont val="Calibri"/>
        <family val="2"/>
        <charset val="161"/>
      </rPr>
      <t>φ</t>
    </r>
    <r>
      <rPr>
        <sz val="11"/>
        <color theme="1"/>
        <rFont val="맑은 고딕"/>
        <family val="2"/>
        <charset val="129"/>
        <scheme val="minor"/>
      </rPr>
      <t>Vn=</t>
    </r>
    <phoneticPr fontId="2" type="noConversion"/>
  </si>
  <si>
    <r>
      <t>Vu/</t>
    </r>
    <r>
      <rPr>
        <sz val="11"/>
        <color theme="1"/>
        <rFont val="Calibri"/>
        <family val="3"/>
        <charset val="161"/>
      </rPr>
      <t>φ</t>
    </r>
    <r>
      <rPr>
        <sz val="11"/>
        <color theme="1"/>
        <rFont val="맑은 고딕"/>
        <family val="3"/>
        <charset val="129"/>
      </rPr>
      <t>V</t>
    </r>
    <r>
      <rPr>
        <sz val="11"/>
        <color theme="1"/>
        <rFont val="맑은 고딕"/>
        <family val="3"/>
        <charset val="129"/>
        <scheme val="minor"/>
      </rPr>
      <t>n=</t>
    </r>
    <phoneticPr fontId="2" type="noConversion"/>
  </si>
  <si>
    <t>GET</t>
    <phoneticPr fontId="2" type="noConversion"/>
  </si>
  <si>
    <t>2-2.</t>
    <phoneticPr fontId="2" type="noConversion"/>
  </si>
  <si>
    <r>
      <t xml:space="preserve">composite H-section </t>
    </r>
    <r>
      <rPr>
        <sz val="11"/>
        <color theme="1"/>
        <rFont val="맑은 고딕"/>
        <family val="3"/>
        <charset val="129"/>
        <scheme val="minor"/>
      </rPr>
      <t>(KDS 41 30 20)</t>
    </r>
    <phoneticPr fontId="2" type="noConversion"/>
  </si>
  <si>
    <t>5.</t>
    <phoneticPr fontId="2" type="noConversion"/>
  </si>
  <si>
    <t>Member Forces</t>
    <phoneticPr fontId="2" type="noConversion"/>
  </si>
  <si>
    <t>6.</t>
    <phoneticPr fontId="2" type="noConversion"/>
  </si>
  <si>
    <t>Length &amp; Spacing</t>
    <phoneticPr fontId="2" type="noConversion"/>
  </si>
  <si>
    <t>정모멘트</t>
    <phoneticPr fontId="2" type="noConversion"/>
  </si>
  <si>
    <t>Length</t>
    <phoneticPr fontId="2" type="noConversion"/>
  </si>
  <si>
    <t>L</t>
    <phoneticPr fontId="2" type="noConversion"/>
  </si>
  <si>
    <t>부모멘트</t>
    <phoneticPr fontId="2" type="noConversion"/>
  </si>
  <si>
    <t>Spacing</t>
    <phoneticPr fontId="2" type="noConversion"/>
  </si>
  <si>
    <t>S1</t>
    <phoneticPr fontId="2" type="noConversion"/>
  </si>
  <si>
    <t>부모멘트(U)</t>
    <phoneticPr fontId="2" type="noConversion"/>
  </si>
  <si>
    <t>S2</t>
    <phoneticPr fontId="2" type="noConversion"/>
  </si>
  <si>
    <t>전단력</t>
    <phoneticPr fontId="2" type="noConversion"/>
  </si>
  <si>
    <t>1-2.</t>
    <phoneticPr fontId="2" type="noConversion"/>
  </si>
  <si>
    <r>
      <t xml:space="preserve">H-section </t>
    </r>
    <r>
      <rPr>
        <sz val="11"/>
        <color theme="1"/>
        <rFont val="맑은 고딕"/>
        <family val="3"/>
        <charset val="129"/>
        <scheme val="minor"/>
      </rPr>
      <t>(KDS 14 31 10)</t>
    </r>
    <phoneticPr fontId="2" type="noConversion"/>
  </si>
  <si>
    <t>Negative Bending (4.3.2.1.1.2 강축 휨을 받는 2축대칭 H형강 또는 ㄷ형강 조밀단면 부재)</t>
    <phoneticPr fontId="2" type="noConversion"/>
  </si>
  <si>
    <t>탄성휨모멘트</t>
    <phoneticPr fontId="2" type="noConversion"/>
  </si>
  <si>
    <t>※ 시공시 탄성강도 검토</t>
  </si>
  <si>
    <t>Anchor Spacing</t>
    <phoneticPr fontId="2" type="noConversion"/>
  </si>
  <si>
    <t>RESULT</t>
    <phoneticPr fontId="2" type="noConversion"/>
  </si>
  <si>
    <t>횡비틀림좌굴강도</t>
    <phoneticPr fontId="2" type="noConversion"/>
  </si>
  <si>
    <t>Mn=</t>
    <phoneticPr fontId="2" type="noConversion"/>
  </si>
  <si>
    <r>
      <rPr>
        <sz val="11"/>
        <color theme="1"/>
        <rFont val="맑은 고딕"/>
        <family val="3"/>
        <charset val="129"/>
      </rPr>
      <t xml:space="preserve">※ </t>
    </r>
    <r>
      <rPr>
        <sz val="11"/>
        <color theme="1"/>
        <rFont val="맑은 고딕"/>
        <family val="2"/>
        <charset val="129"/>
        <scheme val="minor"/>
      </rPr>
      <t>H형강 Lb는 실제 길이 x2, 캔틸레버로 가정</t>
    </r>
    <phoneticPr fontId="2" type="noConversion"/>
  </si>
  <si>
    <t>Lb=</t>
    <phoneticPr fontId="2" type="noConversion"/>
  </si>
  <si>
    <t>m</t>
    <phoneticPr fontId="2" type="noConversion"/>
  </si>
  <si>
    <t>Lp=</t>
    <phoneticPr fontId="2" type="noConversion"/>
  </si>
  <si>
    <t>Lr=</t>
    <phoneticPr fontId="2" type="noConversion"/>
  </si>
  <si>
    <t>U-section</t>
    <phoneticPr fontId="2" type="noConversion"/>
  </si>
  <si>
    <t>Composite section</t>
    <phoneticPr fontId="2" type="noConversion"/>
  </si>
  <si>
    <t>단면적</t>
    <phoneticPr fontId="2" type="noConversion"/>
  </si>
  <si>
    <t>mm2</t>
    <phoneticPr fontId="2" type="noConversion"/>
  </si>
  <si>
    <r>
      <t>Mu/</t>
    </r>
    <r>
      <rPr>
        <sz val="11"/>
        <color theme="1"/>
        <rFont val="맑은 고딕"/>
        <family val="3"/>
        <charset val="129"/>
      </rPr>
      <t>φ</t>
    </r>
    <r>
      <rPr>
        <sz val="11"/>
        <color theme="1"/>
        <rFont val="맑은 고딕"/>
        <family val="3"/>
        <charset val="129"/>
        <scheme val="minor"/>
      </rPr>
      <t>Mn=</t>
    </r>
    <phoneticPr fontId="2" type="noConversion"/>
  </si>
  <si>
    <t>Ix</t>
    <phoneticPr fontId="2" type="noConversion"/>
  </si>
  <si>
    <t>mm4</t>
    <phoneticPr fontId="2" type="noConversion"/>
  </si>
  <si>
    <t>Zx</t>
    <phoneticPr fontId="2" type="noConversion"/>
  </si>
  <si>
    <t>mm3</t>
    <phoneticPr fontId="2" type="noConversion"/>
  </si>
  <si>
    <t>Sx1</t>
    <phoneticPr fontId="2" type="noConversion"/>
  </si>
  <si>
    <t>Sx2</t>
    <phoneticPr fontId="2" type="noConversion"/>
  </si>
  <si>
    <t>NA</t>
    <phoneticPr fontId="2" type="noConversion"/>
  </si>
  <si>
    <t>PNA</t>
    <phoneticPr fontId="2" type="noConversion"/>
  </si>
  <si>
    <t>2-3.</t>
    <phoneticPr fontId="2" type="noConversion"/>
  </si>
  <si>
    <r>
      <t xml:space="preserve">Deflection </t>
    </r>
    <r>
      <rPr>
        <sz val="11"/>
        <color theme="1"/>
        <rFont val="맑은 고딕"/>
        <family val="3"/>
        <charset val="129"/>
        <scheme val="minor"/>
      </rPr>
      <t>(강구조설계(한국강구조학회) 9.3.8 합성보의 처짐)</t>
    </r>
    <phoneticPr fontId="2" type="noConversion"/>
  </si>
  <si>
    <t>합성률</t>
    <phoneticPr fontId="2" type="noConversion"/>
  </si>
  <si>
    <r>
      <rPr>
        <sz val="11"/>
        <color theme="1"/>
        <rFont val="Arial"/>
        <family val="2"/>
      </rPr>
      <t>Δ</t>
    </r>
    <r>
      <rPr>
        <vertAlign val="subscript"/>
        <sz val="11"/>
        <color theme="1"/>
        <rFont val="맑은 고딕"/>
        <family val="3"/>
        <charset val="129"/>
      </rPr>
      <t>L</t>
    </r>
    <phoneticPr fontId="2" type="noConversion"/>
  </si>
  <si>
    <t>L/360=</t>
    <phoneticPr fontId="2" type="noConversion"/>
  </si>
  <si>
    <t>Ratio=</t>
    <phoneticPr fontId="2" type="noConversion"/>
  </si>
  <si>
    <r>
      <rPr>
        <sz val="11"/>
        <color theme="1"/>
        <rFont val="Calibri"/>
        <family val="2"/>
        <charset val="161"/>
      </rPr>
      <t>Δ</t>
    </r>
    <r>
      <rPr>
        <vertAlign val="subscript"/>
        <sz val="11"/>
        <color theme="1"/>
        <rFont val="Calibri"/>
        <family val="3"/>
      </rPr>
      <t>L+D</t>
    </r>
    <phoneticPr fontId="2" type="noConversion"/>
  </si>
  <si>
    <t>L/240=</t>
    <phoneticPr fontId="2" type="noConversion"/>
  </si>
  <si>
    <t>1-3.</t>
    <phoneticPr fontId="2" type="noConversion"/>
  </si>
  <si>
    <t xml:space="preserve">delta_D1 = 5*WD1*L^4 / (384*E*I) = </t>
    <phoneticPr fontId="2" type="noConversion"/>
  </si>
  <si>
    <t>2-4.</t>
    <phoneticPr fontId="2" type="noConversion"/>
  </si>
  <si>
    <r>
      <t xml:space="preserve">Vibration </t>
    </r>
    <r>
      <rPr>
        <sz val="11"/>
        <color theme="1"/>
        <rFont val="맑은 고딕"/>
        <family val="3"/>
        <charset val="129"/>
        <scheme val="minor"/>
      </rPr>
      <t>(강구조 설계(한국강구조학회) 7.8.2 진동)</t>
    </r>
    <phoneticPr fontId="2" type="noConversion"/>
  </si>
  <si>
    <t xml:space="preserve">delta_C = 5*WC*L^4 / (384*E*I) = </t>
    <phoneticPr fontId="2" type="noConversion"/>
  </si>
  <si>
    <t>고유진동수 fn=</t>
    <phoneticPr fontId="2" type="noConversion"/>
  </si>
  <si>
    <t>Hz</t>
    <phoneticPr fontId="2" type="noConversion"/>
  </si>
  <si>
    <t>delta_n=</t>
    <phoneticPr fontId="2" type="noConversion"/>
  </si>
  <si>
    <t>L/300=</t>
    <phoneticPr fontId="2" type="noConversion"/>
  </si>
  <si>
    <t>최대가속도비=</t>
    <phoneticPr fontId="2" type="noConversion"/>
  </si>
  <si>
    <t>가속도한계비=</t>
    <phoneticPr fontId="2" type="noConversion"/>
  </si>
  <si>
    <t>None</t>
    <phoneticPr fontId="2" type="noConversion"/>
  </si>
  <si>
    <t>FixedEnd</t>
    <phoneticPr fontId="2" type="noConversion"/>
  </si>
  <si>
    <t>사무실</t>
    <phoneticPr fontId="2" type="noConversion"/>
  </si>
  <si>
    <t>Built Up</t>
    <phoneticPr fontId="2" type="noConversion"/>
  </si>
  <si>
    <t>SM355</t>
    <phoneticPr fontId="2" type="noConversion"/>
  </si>
  <si>
    <t>주택</t>
  </si>
  <si>
    <t>주거용 건축물의 거실</t>
  </si>
  <si>
    <t>SimpleBeam</t>
    <phoneticPr fontId="2" type="noConversion"/>
  </si>
  <si>
    <t>쇼핑몰</t>
    <phoneticPr fontId="2" type="noConversion"/>
  </si>
  <si>
    <t>H-100X50X5X7</t>
  </si>
  <si>
    <t>SM420</t>
    <phoneticPr fontId="2" type="noConversion"/>
  </si>
  <si>
    <t>공동주택의 공용실</t>
  </si>
  <si>
    <t>Pin-Fix</t>
    <phoneticPr fontId="2" type="noConversion"/>
  </si>
  <si>
    <t>육교(실내)</t>
    <phoneticPr fontId="2" type="noConversion"/>
  </si>
  <si>
    <t>H-150X75X5X7</t>
  </si>
  <si>
    <t>SM460</t>
    <phoneticPr fontId="2" type="noConversion"/>
  </si>
  <si>
    <t>병원</t>
  </si>
  <si>
    <t>병실</t>
  </si>
  <si>
    <t>Free-Fix</t>
    <phoneticPr fontId="2" type="noConversion"/>
  </si>
  <si>
    <t>육교(실외)</t>
    <phoneticPr fontId="2" type="noConversion"/>
  </si>
  <si>
    <t>H-148X100X6X9</t>
  </si>
  <si>
    <t>SN355</t>
    <phoneticPr fontId="2" type="noConversion"/>
  </si>
  <si>
    <r>
      <t>수술실</t>
    </r>
    <r>
      <rPr>
        <sz val="9"/>
        <color rgb="FF000000"/>
        <rFont val="맑은 고딕"/>
        <family val="3"/>
        <charset val="129"/>
        <scheme val="minor"/>
      </rPr>
      <t xml:space="preserve">, </t>
    </r>
    <r>
      <rPr>
        <sz val="9"/>
        <color rgb="FF000000"/>
        <rFont val="휴먼명조"/>
        <family val="3"/>
        <charset val="129"/>
      </rPr>
      <t>공용실</t>
    </r>
    <r>
      <rPr>
        <sz val="9"/>
        <color rgb="FF000000"/>
        <rFont val="맑은 고딕"/>
        <family val="3"/>
        <charset val="129"/>
        <scheme val="minor"/>
      </rPr>
      <t xml:space="preserve">, </t>
    </r>
    <r>
      <rPr>
        <sz val="9"/>
        <color rgb="FF000000"/>
        <rFont val="휴먼명조"/>
        <family val="3"/>
        <charset val="129"/>
      </rPr>
      <t>실험실</t>
    </r>
  </si>
  <si>
    <t>H-198X99X4.5X7</t>
  </si>
  <si>
    <t>SHN355</t>
    <phoneticPr fontId="2" type="noConversion"/>
  </si>
  <si>
    <r>
      <t>1</t>
    </r>
    <r>
      <rPr>
        <sz val="9"/>
        <color rgb="FF000000"/>
        <rFont val="휴먼명조"/>
        <family val="3"/>
        <charset val="129"/>
      </rPr>
      <t>층 외의 모든 층 복도</t>
    </r>
  </si>
  <si>
    <t>H-200X100X5.5X8</t>
  </si>
  <si>
    <t>숙박시설</t>
  </si>
  <si>
    <t>객실</t>
  </si>
  <si>
    <t>H-194X150X6X9</t>
  </si>
  <si>
    <t>공용실</t>
  </si>
  <si>
    <t>H-248X124X5X8</t>
  </si>
  <si>
    <t>H-250X125X6X9</t>
  </si>
  <si>
    <t>특수용도사무실</t>
  </si>
  <si>
    <t>H-244X175X7X11</t>
  </si>
  <si>
    <t>문서보관실</t>
  </si>
  <si>
    <t>H-298X149X5.5X8</t>
  </si>
  <si>
    <t>H-300X150X6.5X9</t>
  </si>
  <si>
    <t>학교</t>
  </si>
  <si>
    <t>교실</t>
  </si>
  <si>
    <t>H-294X200X8X12</t>
  </si>
  <si>
    <t>일반 실험실</t>
  </si>
  <si>
    <t>H-298X201X9X14</t>
  </si>
  <si>
    <t>중량물 실험실</t>
  </si>
  <si>
    <t>H-346X174X6X9</t>
  </si>
  <si>
    <t>H-350X175X7X11</t>
  </si>
  <si>
    <t>판매장</t>
  </si>
  <si>
    <r>
      <t>상점</t>
    </r>
    <r>
      <rPr>
        <sz val="9"/>
        <color rgb="FF000000"/>
        <rFont val="맑은 고딕"/>
        <family val="3"/>
        <charset val="129"/>
        <scheme val="minor"/>
      </rPr>
      <t xml:space="preserve">, </t>
    </r>
    <r>
      <rPr>
        <sz val="9"/>
        <color rgb="FF000000"/>
        <rFont val="휴먼명조"/>
        <family val="3"/>
        <charset val="129"/>
      </rPr>
      <t xml:space="preserve">백화점 </t>
    </r>
    <r>
      <rPr>
        <sz val="9"/>
        <color rgb="FF000000"/>
        <rFont val="맑은 고딕"/>
        <family val="3"/>
        <charset val="129"/>
        <scheme val="minor"/>
      </rPr>
      <t>(1</t>
    </r>
    <r>
      <rPr>
        <sz val="9"/>
        <color rgb="FF000000"/>
        <rFont val="휴먼명조"/>
        <family val="3"/>
        <charset val="129"/>
      </rPr>
      <t>층</t>
    </r>
    <r>
      <rPr>
        <sz val="9"/>
        <color rgb="FF000000"/>
        <rFont val="맑은 고딕"/>
        <family val="3"/>
        <charset val="129"/>
        <scheme val="minor"/>
      </rPr>
      <t>)</t>
    </r>
  </si>
  <si>
    <t>H-354X176X8X13</t>
  </si>
  <si>
    <r>
      <t>상점</t>
    </r>
    <r>
      <rPr>
        <sz val="9"/>
        <color rgb="FF000000"/>
        <rFont val="맑은 고딕"/>
        <family val="3"/>
        <charset val="129"/>
        <scheme val="minor"/>
      </rPr>
      <t xml:space="preserve">, </t>
    </r>
    <r>
      <rPr>
        <sz val="9"/>
        <color rgb="FF000000"/>
        <rFont val="휴먼명조"/>
        <family val="3"/>
        <charset val="129"/>
      </rPr>
      <t xml:space="preserve">백화점 </t>
    </r>
    <r>
      <rPr>
        <sz val="9"/>
        <color rgb="FF000000"/>
        <rFont val="맑은 고딕"/>
        <family val="3"/>
        <charset val="129"/>
        <scheme val="minor"/>
      </rPr>
      <t>(2</t>
    </r>
    <r>
      <rPr>
        <sz val="9"/>
        <color rgb="FF000000"/>
        <rFont val="휴먼명조"/>
        <family val="3"/>
        <charset val="129"/>
      </rPr>
      <t>층 이상</t>
    </r>
    <r>
      <rPr>
        <sz val="9"/>
        <color rgb="FF000000"/>
        <rFont val="맑은 고딕"/>
        <family val="3"/>
        <charset val="129"/>
        <scheme val="minor"/>
      </rPr>
      <t>)</t>
    </r>
  </si>
  <si>
    <t>H-336X249X8X12</t>
  </si>
  <si>
    <t>창고형 매장</t>
  </si>
  <si>
    <t>H-340X250X9X14</t>
  </si>
  <si>
    <r>
      <t>집회및</t>
    </r>
    <r>
      <rPr>
        <sz val="9"/>
        <color rgb="FF000000"/>
        <rFont val="맑은 고딕"/>
        <family val="3"/>
        <charset val="129"/>
      </rPr>
      <t>유흥장</t>
    </r>
    <phoneticPr fontId="2" type="noConversion"/>
  </si>
  <si>
    <t>모든 층 복도</t>
  </si>
  <si>
    <t>H-396X199X7X11</t>
  </si>
  <si>
    <t>무대</t>
  </si>
  <si>
    <t>H-400X200X8X13</t>
  </si>
  <si>
    <t>식당</t>
  </si>
  <si>
    <t>H-404X201X9X15</t>
  </si>
  <si>
    <t>주방</t>
  </si>
  <si>
    <t>H-386X299X9X14</t>
  </si>
  <si>
    <r>
      <t xml:space="preserve">극장 및 집회장 </t>
    </r>
    <r>
      <rPr>
        <sz val="9"/>
        <color rgb="FF000000"/>
        <rFont val="맑은 고딕"/>
        <family val="3"/>
        <charset val="129"/>
        <scheme val="minor"/>
      </rPr>
      <t>(</t>
    </r>
    <r>
      <rPr>
        <sz val="9"/>
        <color rgb="FF000000"/>
        <rFont val="휴먼명조"/>
        <family val="3"/>
        <charset val="129"/>
      </rPr>
      <t>고정 좌석</t>
    </r>
    <r>
      <rPr>
        <sz val="9"/>
        <color rgb="FF000000"/>
        <rFont val="맑은 고딕"/>
        <family val="3"/>
        <charset val="129"/>
        <scheme val="minor"/>
      </rPr>
      <t>)</t>
    </r>
  </si>
  <si>
    <t>H-390X300X10X16</t>
  </si>
  <si>
    <r>
      <t xml:space="preserve">집회장 </t>
    </r>
    <r>
      <rPr>
        <sz val="9"/>
        <color rgb="FF000000"/>
        <rFont val="맑은 고딕"/>
        <family val="3"/>
        <charset val="129"/>
        <scheme val="minor"/>
      </rPr>
      <t>(</t>
    </r>
    <r>
      <rPr>
        <sz val="9"/>
        <color rgb="FF000000"/>
        <rFont val="휴먼명조"/>
        <family val="3"/>
        <charset val="129"/>
      </rPr>
      <t>이동 좌석</t>
    </r>
    <r>
      <rPr>
        <sz val="9"/>
        <color rgb="FF000000"/>
        <rFont val="맑은 고딕"/>
        <family val="3"/>
        <charset val="129"/>
        <scheme val="minor"/>
      </rPr>
      <t>)</t>
    </r>
  </si>
  <si>
    <t>H-446X199X8X12</t>
  </si>
  <si>
    <r>
      <t>연회장</t>
    </r>
    <r>
      <rPr>
        <sz val="9"/>
        <color rgb="FF000000"/>
        <rFont val="맑은 고딕"/>
        <family val="3"/>
        <charset val="129"/>
        <scheme val="minor"/>
      </rPr>
      <t xml:space="preserve">, </t>
    </r>
    <r>
      <rPr>
        <sz val="9"/>
        <color rgb="FF000000"/>
        <rFont val="휴먼명조"/>
        <family val="3"/>
        <charset val="129"/>
      </rPr>
      <t>무도장</t>
    </r>
  </si>
  <si>
    <t>H-450X200X9X14</t>
  </si>
  <si>
    <t>체육시설</t>
  </si>
  <si>
    <r>
      <t>체육관 바닥</t>
    </r>
    <r>
      <rPr>
        <sz val="9"/>
        <color rgb="FF000000"/>
        <rFont val="맑은 고딕"/>
        <family val="3"/>
        <charset val="129"/>
        <scheme val="minor"/>
      </rPr>
      <t xml:space="preserve">, </t>
    </r>
    <r>
      <rPr>
        <sz val="9"/>
        <color rgb="FF000000"/>
        <rFont val="휴먼명조"/>
        <family val="3"/>
        <charset val="129"/>
      </rPr>
      <t>옥외경기장</t>
    </r>
  </si>
  <si>
    <t>H-434X299X10X15</t>
  </si>
  <si>
    <r>
      <t xml:space="preserve">스탠드 </t>
    </r>
    <r>
      <rPr>
        <sz val="9"/>
        <color rgb="FF000000"/>
        <rFont val="맑은 고딕"/>
        <family val="3"/>
        <charset val="129"/>
        <scheme val="minor"/>
      </rPr>
      <t>(</t>
    </r>
    <r>
      <rPr>
        <sz val="9"/>
        <color rgb="FF000000"/>
        <rFont val="휴먼명조"/>
        <family val="3"/>
        <charset val="129"/>
      </rPr>
      <t>고정 좌석</t>
    </r>
    <r>
      <rPr>
        <sz val="9"/>
        <color rgb="FF000000"/>
        <rFont val="맑은 고딕"/>
        <family val="3"/>
        <charset val="129"/>
        <scheme val="minor"/>
      </rPr>
      <t>)</t>
    </r>
  </si>
  <si>
    <t>H-440X300X11X18</t>
  </si>
  <si>
    <r>
      <t xml:space="preserve">스탠드 </t>
    </r>
    <r>
      <rPr>
        <sz val="9"/>
        <color rgb="FF000000"/>
        <rFont val="맑은 고딕"/>
        <family val="3"/>
        <charset val="129"/>
        <scheme val="minor"/>
      </rPr>
      <t>(</t>
    </r>
    <r>
      <rPr>
        <sz val="9"/>
        <color rgb="FF000000"/>
        <rFont val="휴먼명조"/>
        <family val="3"/>
        <charset val="129"/>
      </rPr>
      <t>이동 좌석</t>
    </r>
    <r>
      <rPr>
        <sz val="9"/>
        <color rgb="FF000000"/>
        <rFont val="맑은 고딕"/>
        <family val="3"/>
        <charset val="129"/>
        <scheme val="minor"/>
      </rPr>
      <t>)</t>
    </r>
  </si>
  <si>
    <t>H-496X199X9X14</t>
  </si>
  <si>
    <t>도서관</t>
  </si>
  <si>
    <t>열람실</t>
  </si>
  <si>
    <t>H-500X200X10X16</t>
  </si>
  <si>
    <t>서고</t>
  </si>
  <si>
    <t>H-506X201X11X19</t>
  </si>
  <si>
    <t>H-482X300X11X15</t>
  </si>
  <si>
    <r>
      <t>주차장</t>
    </r>
    <r>
      <rPr>
        <sz val="9"/>
        <color rgb="FF000000"/>
        <rFont val="Arial Unicode MS"/>
        <family val="3"/>
        <charset val="129"/>
      </rPr>
      <t>및옥외차도</t>
    </r>
    <phoneticPr fontId="2" type="noConversion"/>
  </si>
  <si>
    <r>
      <t xml:space="preserve">총중량 </t>
    </r>
    <r>
      <rPr>
        <sz val="9"/>
        <color rgb="FF000000"/>
        <rFont val="맑은 고딕"/>
        <family val="3"/>
        <charset val="129"/>
        <scheme val="minor"/>
      </rPr>
      <t xml:space="preserve">30kN </t>
    </r>
    <r>
      <rPr>
        <sz val="9"/>
        <color rgb="FF000000"/>
        <rFont val="휴먼명조"/>
        <family val="3"/>
        <charset val="129"/>
      </rPr>
      <t>이하의 차량</t>
    </r>
    <r>
      <rPr>
        <sz val="9"/>
        <color rgb="FF000000"/>
        <rFont val="맑은 고딕"/>
        <family val="3"/>
        <charset val="129"/>
        <scheme val="minor"/>
      </rPr>
      <t>(</t>
    </r>
    <r>
      <rPr>
        <sz val="9"/>
        <color rgb="FF000000"/>
        <rFont val="휴먼명조"/>
        <family val="3"/>
        <charset val="129"/>
      </rPr>
      <t>옥내</t>
    </r>
    <r>
      <rPr>
        <sz val="9"/>
        <color rgb="FF000000"/>
        <rFont val="맑은 고딕"/>
        <family val="3"/>
        <charset val="129"/>
        <scheme val="minor"/>
      </rPr>
      <t>)</t>
    </r>
  </si>
  <si>
    <t>H-488X300X11X18</t>
  </si>
  <si>
    <r>
      <t xml:space="preserve">총중량 </t>
    </r>
    <r>
      <rPr>
        <sz val="9"/>
        <color rgb="FF000000"/>
        <rFont val="맑은 고딕"/>
        <family val="3"/>
        <charset val="129"/>
        <scheme val="minor"/>
      </rPr>
      <t xml:space="preserve">30kN </t>
    </r>
    <r>
      <rPr>
        <sz val="9"/>
        <color rgb="FF000000"/>
        <rFont val="휴먼명조"/>
        <family val="3"/>
        <charset val="129"/>
      </rPr>
      <t>이하의 차량</t>
    </r>
    <r>
      <rPr>
        <sz val="9"/>
        <color rgb="FF000000"/>
        <rFont val="맑은 고딕"/>
        <family val="3"/>
        <charset val="129"/>
        <scheme val="minor"/>
      </rPr>
      <t>(</t>
    </r>
    <r>
      <rPr>
        <sz val="9"/>
        <color rgb="FF000000"/>
        <rFont val="휴먼명조"/>
        <family val="3"/>
        <charset val="129"/>
      </rPr>
      <t>옥외</t>
    </r>
    <r>
      <rPr>
        <sz val="9"/>
        <color rgb="FF000000"/>
        <rFont val="맑은 고딕"/>
        <family val="3"/>
        <charset val="129"/>
        <scheme val="minor"/>
      </rPr>
      <t>)</t>
    </r>
  </si>
  <si>
    <t>H-596X199X10X15</t>
  </si>
  <si>
    <r>
      <t xml:space="preserve">총중량 </t>
    </r>
    <r>
      <rPr>
        <sz val="9"/>
        <color rgb="FF000000"/>
        <rFont val="맑은 고딕"/>
        <family val="3"/>
        <charset val="129"/>
        <scheme val="minor"/>
      </rPr>
      <t xml:space="preserve">30kN </t>
    </r>
    <r>
      <rPr>
        <sz val="9"/>
        <color rgb="FF000000"/>
        <rFont val="휴먼명조"/>
        <family val="3"/>
        <charset val="129"/>
      </rPr>
      <t xml:space="preserve">초과 </t>
    </r>
    <r>
      <rPr>
        <sz val="9"/>
        <color rgb="FF000000"/>
        <rFont val="맑은 고딕"/>
        <family val="3"/>
        <charset val="129"/>
        <scheme val="minor"/>
      </rPr>
      <t xml:space="preserve">90kN </t>
    </r>
    <r>
      <rPr>
        <sz val="9"/>
        <color rgb="FF000000"/>
        <rFont val="휴먼명조"/>
        <family val="3"/>
        <charset val="129"/>
      </rPr>
      <t>이하의 차량</t>
    </r>
  </si>
  <si>
    <t>H-600X200X11X17</t>
  </si>
  <si>
    <r>
      <t xml:space="preserve">총중량 </t>
    </r>
    <r>
      <rPr>
        <sz val="9"/>
        <color rgb="FF000000"/>
        <rFont val="맑은 고딕"/>
        <family val="3"/>
        <charset val="129"/>
        <scheme val="minor"/>
      </rPr>
      <t xml:space="preserve">90kN </t>
    </r>
    <r>
      <rPr>
        <sz val="9"/>
        <color rgb="FF000000"/>
        <rFont val="휴먼명조"/>
        <family val="3"/>
        <charset val="129"/>
      </rPr>
      <t xml:space="preserve">초과 </t>
    </r>
    <r>
      <rPr>
        <sz val="9"/>
        <color rgb="FF000000"/>
        <rFont val="맑은 고딕"/>
        <family val="3"/>
        <charset val="129"/>
        <scheme val="minor"/>
      </rPr>
      <t xml:space="preserve">180kN </t>
    </r>
    <r>
      <rPr>
        <sz val="9"/>
        <color rgb="FF000000"/>
        <rFont val="휴먼명조"/>
        <family val="3"/>
        <charset val="129"/>
      </rPr>
      <t>이하의 차량</t>
    </r>
  </si>
  <si>
    <t>H-606X201X12X20</t>
  </si>
  <si>
    <t xml:space="preserve">옥외 차도와 차도 양측의 보도 </t>
  </si>
  <si>
    <t>H-612X202X13X23</t>
  </si>
  <si>
    <t>창고</t>
  </si>
  <si>
    <t>경량품 저장창고</t>
  </si>
  <si>
    <t>H-582X300X12X17</t>
  </si>
  <si>
    <t>중량품 저장창고</t>
  </si>
  <si>
    <t>H-588X300X12X20</t>
  </si>
  <si>
    <t>공장</t>
  </si>
  <si>
    <t>경공업 공장</t>
  </si>
  <si>
    <t>H-594X302X14X23</t>
  </si>
  <si>
    <t>중공업 공장</t>
  </si>
  <si>
    <t>지붕</t>
  </si>
  <si>
    <r>
      <t>점유</t>
    </r>
    <r>
      <rPr>
        <sz val="9"/>
        <color rgb="FF000000"/>
        <rFont val="맑은 고딕"/>
        <family val="3"/>
        <charset val="129"/>
        <scheme val="minor"/>
      </rPr>
      <t>·</t>
    </r>
    <r>
      <rPr>
        <sz val="9"/>
        <color rgb="FF000000"/>
        <rFont val="휴먼명조"/>
        <family val="3"/>
        <charset val="129"/>
      </rPr>
      <t>사용하지 않는 지붕</t>
    </r>
    <r>
      <rPr>
        <sz val="9"/>
        <color rgb="FF000000"/>
        <rFont val="맑은 고딕"/>
        <family val="3"/>
        <charset val="129"/>
        <scheme val="minor"/>
      </rPr>
      <t>(</t>
    </r>
    <r>
      <rPr>
        <sz val="9"/>
        <color rgb="FF000000"/>
        <rFont val="휴먼명조"/>
        <family val="3"/>
        <charset val="129"/>
      </rPr>
      <t>지붕활하중</t>
    </r>
    <r>
      <rPr>
        <sz val="9"/>
        <color rgb="FF000000"/>
        <rFont val="맑은 고딕"/>
        <family val="3"/>
        <charset val="129"/>
        <scheme val="minor"/>
      </rPr>
      <t>)</t>
    </r>
  </si>
  <si>
    <t>H-700X300X13X24</t>
  </si>
  <si>
    <t>산책로 용도</t>
  </si>
  <si>
    <t>H-708X302X15X28</t>
  </si>
  <si>
    <t>정원 또는 집회 용도</t>
  </si>
  <si>
    <t>H-792X300X14X22</t>
  </si>
  <si>
    <t>출입이 제한된 조경 구역</t>
  </si>
  <si>
    <t>H-800X300X14X26</t>
  </si>
  <si>
    <t>헬리콥터 이착륙장</t>
  </si>
  <si>
    <t>H-808X302X16X30</t>
  </si>
  <si>
    <t>기계실</t>
    <phoneticPr fontId="2" type="noConversion"/>
  </si>
  <si>
    <r>
      <t>공조실</t>
    </r>
    <r>
      <rPr>
        <sz val="9"/>
        <color rgb="FF000000"/>
        <rFont val="맑은 고딕"/>
        <family val="3"/>
        <charset val="129"/>
        <scheme val="minor"/>
      </rPr>
      <t xml:space="preserve">, </t>
    </r>
    <r>
      <rPr>
        <sz val="9"/>
        <color rgb="FF000000"/>
        <rFont val="휴먼명조"/>
        <family val="3"/>
        <charset val="129"/>
      </rPr>
      <t>전기실</t>
    </r>
    <r>
      <rPr>
        <sz val="9"/>
        <color rgb="FF000000"/>
        <rFont val="맑은 고딕"/>
        <family val="3"/>
        <charset val="129"/>
        <scheme val="minor"/>
      </rPr>
      <t xml:space="preserve">, </t>
    </r>
    <r>
      <rPr>
        <sz val="9"/>
        <color rgb="FF000000"/>
        <rFont val="휴먼명조"/>
        <family val="3"/>
        <charset val="129"/>
      </rPr>
      <t>기계실 등</t>
    </r>
  </si>
  <si>
    <t>H-890X299X15X23</t>
  </si>
  <si>
    <t>광장</t>
  </si>
  <si>
    <t>옥외광장</t>
  </si>
  <si>
    <t>H-900X300X16X28</t>
  </si>
  <si>
    <t>발코니</t>
  </si>
  <si>
    <r>
      <t xml:space="preserve">출입 바닥 활하중의 </t>
    </r>
    <r>
      <rPr>
        <sz val="9"/>
        <color rgb="FF000000"/>
        <rFont val="맑은 고딕"/>
        <family val="3"/>
        <charset val="129"/>
        <scheme val="minor"/>
      </rPr>
      <t>1.5</t>
    </r>
    <r>
      <rPr>
        <sz val="9"/>
        <color rgb="FF000000"/>
        <rFont val="휴먼명조"/>
        <family val="3"/>
        <charset val="129"/>
      </rPr>
      <t xml:space="preserve">배 </t>
    </r>
    <r>
      <rPr>
        <sz val="9"/>
        <color rgb="FF000000"/>
        <rFont val="맑은 고딕"/>
        <family val="3"/>
        <charset val="129"/>
        <scheme val="minor"/>
      </rPr>
      <t>(</t>
    </r>
    <r>
      <rPr>
        <sz val="9"/>
        <color rgb="FF000000"/>
        <rFont val="휴먼명조"/>
        <family val="3"/>
        <charset val="129"/>
      </rPr>
      <t xml:space="preserve">최대 </t>
    </r>
    <r>
      <rPr>
        <sz val="9"/>
        <color rgb="FF000000"/>
        <rFont val="맑은 고딕"/>
        <family val="3"/>
        <charset val="129"/>
        <scheme val="minor"/>
      </rPr>
      <t>5.0kN/m</t>
    </r>
    <r>
      <rPr>
        <vertAlign val="superscript"/>
        <sz val="9"/>
        <color rgb="FF000000"/>
        <rFont val="맑은 고딕"/>
        <family val="3"/>
        <charset val="129"/>
        <scheme val="minor"/>
      </rPr>
      <t>2</t>
    </r>
    <r>
      <rPr>
        <sz val="9"/>
        <color rgb="FF000000"/>
        <rFont val="맑은 고딕"/>
        <family val="3"/>
        <charset val="129"/>
        <scheme val="minor"/>
      </rPr>
      <t>)</t>
    </r>
  </si>
  <si>
    <t>H-912X302X18X34</t>
  </si>
  <si>
    <t>로비및복도</t>
    <phoneticPr fontId="2" type="noConversion"/>
  </si>
  <si>
    <r>
      <t>로비</t>
    </r>
    <r>
      <rPr>
        <sz val="9"/>
        <color rgb="FF000000"/>
        <rFont val="맑은 고딕"/>
        <family val="3"/>
        <charset val="129"/>
        <scheme val="minor"/>
      </rPr>
      <t>, 1</t>
    </r>
    <r>
      <rPr>
        <sz val="9"/>
        <color rgb="FF000000"/>
        <rFont val="휴먼명조"/>
        <family val="3"/>
        <charset val="129"/>
      </rPr>
      <t>층 복도</t>
    </r>
  </si>
  <si>
    <t>H-918X303X19X37</t>
  </si>
  <si>
    <r>
      <t>1</t>
    </r>
    <r>
      <rPr>
        <sz val="9"/>
        <color rgb="FF000000"/>
        <rFont val="휴먼명조"/>
        <family val="3"/>
        <charset val="129"/>
      </rPr>
      <t xml:space="preserve">층 외의 모든 층 복도 </t>
    </r>
    <r>
      <rPr>
        <sz val="9"/>
        <color rgb="FF000000"/>
        <rFont val="맑은 고딕"/>
        <family val="3"/>
        <charset val="129"/>
        <scheme val="minor"/>
      </rPr>
      <t>(</t>
    </r>
    <r>
      <rPr>
        <sz val="9"/>
        <color rgb="FF000000"/>
        <rFont val="휴먼명조"/>
        <family val="3"/>
        <charset val="129"/>
      </rPr>
      <t>병원</t>
    </r>
    <r>
      <rPr>
        <sz val="9"/>
        <color rgb="FF000000"/>
        <rFont val="맑은 고딕"/>
        <family val="3"/>
        <charset val="129"/>
        <scheme val="minor"/>
      </rPr>
      <t xml:space="preserve">, </t>
    </r>
    <r>
      <rPr>
        <sz val="9"/>
        <color rgb="FF000000"/>
        <rFont val="휴먼명조"/>
        <family val="3"/>
        <charset val="129"/>
      </rPr>
      <t>사무실</t>
    </r>
    <r>
      <rPr>
        <sz val="9"/>
        <color rgb="FF000000"/>
        <rFont val="맑은 고딕"/>
        <family val="3"/>
        <charset val="129"/>
        <scheme val="minor"/>
      </rPr>
      <t xml:space="preserve">, </t>
    </r>
    <r>
      <rPr>
        <sz val="9"/>
        <color rgb="FF000000"/>
        <rFont val="휴먼명조"/>
        <family val="3"/>
        <charset val="129"/>
      </rPr>
      <t>학교</t>
    </r>
    <r>
      <rPr>
        <sz val="9"/>
        <color rgb="FF000000"/>
        <rFont val="맑은 고딕"/>
        <family val="3"/>
        <charset val="129"/>
        <scheme val="minor"/>
      </rPr>
      <t xml:space="preserve">, </t>
    </r>
    <r>
      <rPr>
        <sz val="9"/>
        <color rgb="FF000000"/>
        <rFont val="휴먼명조"/>
        <family val="3"/>
        <charset val="129"/>
      </rPr>
      <t>집회 및 유흥장</t>
    </r>
    <r>
      <rPr>
        <sz val="9"/>
        <color rgb="FF000000"/>
        <rFont val="맑은 고딕"/>
        <family val="3"/>
        <charset val="129"/>
        <scheme val="minor"/>
      </rPr>
      <t xml:space="preserve">, </t>
    </r>
    <r>
      <rPr>
        <sz val="9"/>
        <color rgb="FF000000"/>
        <rFont val="휴먼명조"/>
        <family val="3"/>
        <charset val="129"/>
      </rPr>
      <t>도서관은 별도 규정</t>
    </r>
    <r>
      <rPr>
        <sz val="9"/>
        <color rgb="FF000000"/>
        <rFont val="맑은 고딕"/>
        <family val="3"/>
        <charset val="129"/>
        <scheme val="minor"/>
      </rPr>
      <t xml:space="preserve">) </t>
    </r>
  </si>
  <si>
    <t>출입 바닥 활하중</t>
  </si>
  <si>
    <t>H-100X100X6X8</t>
  </si>
  <si>
    <t>계단</t>
  </si>
  <si>
    <r>
      <t xml:space="preserve">단독주택 또는 </t>
    </r>
    <r>
      <rPr>
        <sz val="9"/>
        <color rgb="FF000000"/>
        <rFont val="맑은 고딕"/>
        <family val="3"/>
        <charset val="129"/>
        <scheme val="minor"/>
      </rPr>
      <t>2</t>
    </r>
    <r>
      <rPr>
        <sz val="9"/>
        <color rgb="FF000000"/>
        <rFont val="휴먼명조"/>
        <family val="3"/>
        <charset val="129"/>
      </rPr>
      <t>세대 거주 주택</t>
    </r>
  </si>
  <si>
    <t>H-125X125X6.5X9</t>
  </si>
  <si>
    <t>기타의 계단</t>
  </si>
  <si>
    <t>H-150X150X7X10</t>
  </si>
  <si>
    <t>H-200X200X8X12</t>
  </si>
  <si>
    <t>H-200X204X12X12</t>
  </si>
  <si>
    <t>H-208X202X10X16</t>
  </si>
  <si>
    <t>H-244X252X11X11</t>
  </si>
  <si>
    <t>H-248X249X8X13</t>
  </si>
  <si>
    <t>H-250X250X9X14</t>
  </si>
  <si>
    <t>H-250X255X14X14</t>
  </si>
  <si>
    <t>H-294X302X12X12</t>
  </si>
  <si>
    <t>H-298X299X9X14</t>
  </si>
  <si>
    <t>H-304X301X11X17</t>
  </si>
  <si>
    <t>H-310X305X15X20</t>
  </si>
  <si>
    <t>H-310X310X20X20</t>
  </si>
  <si>
    <t>H-338X351X13X13</t>
  </si>
  <si>
    <t>H-344X348X10X16</t>
  </si>
  <si>
    <t>H-344X354X16X16</t>
  </si>
  <si>
    <t>H-350X350X12X19</t>
  </si>
  <si>
    <t>H-350X357X19X19</t>
  </si>
  <si>
    <t>H-388X402X15X15</t>
  </si>
  <si>
    <t>H-394X398X11X18</t>
  </si>
  <si>
    <t>H-394X405X18X18</t>
  </si>
  <si>
    <t>H-400X400X13X21</t>
  </si>
  <si>
    <t>H-400X408X21X21</t>
  </si>
  <si>
    <t>H-406X403X16X24</t>
  </si>
  <si>
    <t>H-414X405X18X28</t>
  </si>
  <si>
    <t>H-428X407X20X35</t>
  </si>
  <si>
    <t>H-458X417X30X50</t>
  </si>
  <si>
    <t>H-498X432X45X70</t>
  </si>
  <si>
    <t>NonCompact</t>
    <phoneticPr fontId="2" type="noConversion"/>
  </si>
  <si>
    <t>U section area</t>
    <phoneticPr fontId="2" type="noConversion"/>
  </si>
  <si>
    <t>H section area</t>
    <phoneticPr fontId="2" type="noConversion"/>
  </si>
  <si>
    <t>U section positive design moment strength. Construction</t>
    <phoneticPr fontId="2" type="noConversion"/>
  </si>
  <si>
    <t>H section negative design moment strength. Construction</t>
    <phoneticPr fontId="2" type="noConversion"/>
  </si>
  <si>
    <t>H section shear design strength. Construction</t>
    <phoneticPr fontId="2" type="noConversion"/>
  </si>
  <si>
    <t>excel</t>
    <phoneticPr fontId="2" type="noConversion"/>
  </si>
  <si>
    <t>plugin</t>
    <phoneticPr fontId="2" type="noConversion"/>
  </si>
  <si>
    <t>H-section</t>
    <phoneticPr fontId="2" type="noConversion"/>
  </si>
  <si>
    <t>exc-plug</t>
    <phoneticPr fontId="2" type="noConversion"/>
  </si>
  <si>
    <t>H-600X200X11X17</t>
    <phoneticPr fontId="2" type="noConversion"/>
  </si>
  <si>
    <t>H section inertia X</t>
    <phoneticPr fontId="2" type="noConversion"/>
  </si>
  <si>
    <t>steel_E</t>
  </si>
  <si>
    <t>steel_Fy_H</t>
  </si>
  <si>
    <t>H_length</t>
  </si>
  <si>
    <t>H section modulusX1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</si>
</sst>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"/>
    <numFmt numFmtId="177" formatCode="0.0E+00"/>
    <numFmt numFmtId="178" formatCode="0.000E+00"/>
    <numFmt numFmtId="179" formatCode="0_);[Red]\(0\)"/>
  </numFmts>
  <fonts count="28">
    <font>
      <sz val="11"/>
      <color theme="1"/>
      <name val="맑은 고딕"/>
      <family val="2"/>
      <charset val="129"/>
      <scheme val="minor"/>
    </font>
    <font>
      <b/>
      <sz val="15"/>
      <color theme="3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vertAlign val="subscript"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</font>
    <font>
      <vertAlign val="superscript"/>
      <sz val="11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</font>
    <font>
      <sz val="10"/>
      <color theme="1"/>
      <name val="맑은 고딕"/>
      <family val="3"/>
      <charset val="129"/>
    </font>
    <font>
      <vertAlign val="subscript"/>
      <sz val="10"/>
      <color theme="1"/>
      <name val="맑은 고딕"/>
      <family val="3"/>
      <charset val="129"/>
    </font>
    <font>
      <sz val="8"/>
      <name val="맑은 고딕"/>
      <family val="3"/>
      <charset val="129"/>
      <scheme val="minor"/>
    </font>
    <font>
      <sz val="11"/>
      <color theme="1"/>
      <name val="Calibri"/>
      <family val="2"/>
      <charset val="161"/>
    </font>
    <font>
      <sz val="11"/>
      <color theme="1"/>
      <name val="맑은 고딕"/>
      <family val="2"/>
      <charset val="161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Calibri"/>
      <family val="3"/>
      <charset val="161"/>
    </font>
    <font>
      <sz val="11"/>
      <color theme="1"/>
      <name val="맑은 고딕"/>
      <family val="3"/>
      <charset val="161"/>
      <scheme val="minor"/>
    </font>
    <font>
      <sz val="9"/>
      <color rgb="FF000000"/>
      <name val="맑은 고딕"/>
      <family val="3"/>
      <charset val="129"/>
      <scheme val="minor"/>
    </font>
    <font>
      <sz val="9"/>
      <color rgb="FF000000"/>
      <name val="휴먼명조"/>
      <family val="3"/>
      <charset val="129"/>
    </font>
    <font>
      <vertAlign val="superscript"/>
      <sz val="9"/>
      <color rgb="FF000000"/>
      <name val="맑은 고딕"/>
      <family val="3"/>
      <charset val="129"/>
      <scheme val="minor"/>
    </font>
    <font>
      <sz val="9"/>
      <color rgb="FF000000"/>
      <name val="맑은 고딕"/>
      <family val="3"/>
      <charset val="129"/>
    </font>
    <font>
      <sz val="9"/>
      <color rgb="FF000000"/>
      <name val="Arial Unicode MS"/>
      <family val="3"/>
      <charset val="129"/>
    </font>
    <font>
      <b/>
      <sz val="12"/>
      <color rgb="FF000000"/>
      <name val="맑은 고딕"/>
      <family val="3"/>
      <charset val="129"/>
      <scheme val="minor"/>
    </font>
    <font>
      <sz val="11"/>
      <color theme="1"/>
      <name val="Arial"/>
      <family val="2"/>
    </font>
    <font>
      <sz val="11"/>
      <color theme="1"/>
      <name val="맑은 고딕"/>
      <family val="2"/>
      <charset val="129"/>
    </font>
    <font>
      <vertAlign val="subscript"/>
      <sz val="11"/>
      <color theme="1"/>
      <name val="맑은 고딕"/>
      <family val="3"/>
      <charset val="129"/>
    </font>
    <font>
      <vertAlign val="subscript"/>
      <sz val="11"/>
      <color theme="1"/>
      <name val="Calibri"/>
      <family val="3"/>
    </font>
  </fonts>
  <fills count="4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rgb="FFB2B2B2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indexed="64"/>
      </left>
      <right style="thin">
        <color rgb="FFB2B2B2"/>
      </right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/>
      <bottom/>
      <diagonal/>
    </border>
  </borders>
  <cellStyleXfs count="4">
    <xf numFmtId="0" fontId="0" fillId="0" borderId="0">
      <alignment vertical="center"/>
    </xf>
    <xf numFmtId="0" fontId="1" fillId="0" borderId="1" applyNumberFormat="0" applyFill="0" applyAlignment="0" applyProtection="0">
      <alignment vertical="center"/>
    </xf>
    <xf numFmtId="0" fontId="13" fillId="2" borderId="5" applyNumberFormat="0" applyAlignment="0" applyProtection="0">
      <alignment vertical="center"/>
    </xf>
    <xf numFmtId="0" fontId="15" fillId="3" borderId="6" applyNumberFormat="0" applyFont="0" applyAlignment="0" applyProtection="0">
      <alignment vertical="center"/>
    </xf>
  </cellStyleXfs>
  <cellXfs count="84">
    <xf numFmtId="0" fontId="0" fillId="0" borderId="0" xfId="0">
      <alignment vertical="center"/>
    </xf>
    <xf numFmtId="49" fontId="0" fillId="0" borderId="0" xfId="0" applyNumberFormat="1">
      <alignment vertical="center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left" vertical="center"/>
    </xf>
    <xf numFmtId="0" fontId="6" fillId="0" borderId="0" xfId="0" applyFont="1">
      <alignment vertical="center"/>
    </xf>
    <xf numFmtId="0" fontId="0" fillId="0" borderId="2" xfId="0" applyBorder="1">
      <alignment vertical="center"/>
    </xf>
    <xf numFmtId="49" fontId="6" fillId="0" borderId="0" xfId="0" applyNumberFormat="1" applyFont="1" applyAlignment="1">
      <alignment horizontal="right" vertical="center"/>
    </xf>
    <xf numFmtId="0" fontId="8" fillId="0" borderId="0" xfId="0" applyFont="1">
      <alignment vertical="center"/>
    </xf>
    <xf numFmtId="0" fontId="0" fillId="0" borderId="0" xfId="0" quotePrefix="1">
      <alignment vertical="center"/>
    </xf>
    <xf numFmtId="0" fontId="0" fillId="0" borderId="2" xfId="0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4" fillId="0" borderId="0" xfId="0" applyFont="1">
      <alignment vertical="center"/>
    </xf>
    <xf numFmtId="0" fontId="12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49" fontId="6" fillId="0" borderId="0" xfId="0" applyNumberFormat="1" applyFont="1">
      <alignment vertical="center"/>
    </xf>
    <xf numFmtId="49" fontId="7" fillId="0" borderId="0" xfId="0" applyNumberFormat="1" applyFont="1" applyAlignment="1">
      <alignment horizontal="left" vertical="center"/>
    </xf>
    <xf numFmtId="0" fontId="0" fillId="0" borderId="11" xfId="0" applyBorder="1">
      <alignment vertical="center"/>
    </xf>
    <xf numFmtId="0" fontId="6" fillId="0" borderId="7" xfId="0" applyFont="1" applyBorder="1">
      <alignment vertical="center"/>
    </xf>
    <xf numFmtId="0" fontId="0" fillId="0" borderId="0" xfId="0" applyAlignment="1">
      <alignment horizontal="left" vertical="center"/>
    </xf>
    <xf numFmtId="49" fontId="7" fillId="0" borderId="0" xfId="0" applyNumberFormat="1" applyFont="1" applyAlignment="1">
      <alignment horizontal="center" vertical="center"/>
    </xf>
    <xf numFmtId="0" fontId="0" fillId="0" borderId="17" xfId="0" applyBorder="1">
      <alignment vertical="center"/>
    </xf>
    <xf numFmtId="0" fontId="19" fillId="0" borderId="18" xfId="0" applyFont="1" applyBorder="1" applyAlignment="1">
      <alignment horizontal="center" vertical="center"/>
    </xf>
    <xf numFmtId="0" fontId="18" fillId="0" borderId="18" xfId="0" applyFont="1" applyBorder="1" applyAlignment="1">
      <alignment horizontal="center" vertical="center"/>
    </xf>
    <xf numFmtId="0" fontId="23" fillId="0" borderId="0" xfId="0" applyFont="1" applyAlignment="1">
      <alignment horizontal="left" vertical="center" indent="1"/>
    </xf>
    <xf numFmtId="0" fontId="14" fillId="0" borderId="0" xfId="0" applyFont="1" applyAlignment="1">
      <alignment horizontal="center" vertical="center"/>
    </xf>
    <xf numFmtId="0" fontId="0" fillId="0" borderId="0" xfId="0" applyAlignment="1">
      <alignment horizontal="right" vertical="center"/>
    </xf>
    <xf numFmtId="0" fontId="6" fillId="0" borderId="0" xfId="0" applyFont="1" applyAlignment="1">
      <alignment horizontal="right" vertical="center"/>
    </xf>
    <xf numFmtId="178" fontId="0" fillId="0" borderId="0" xfId="0" applyNumberFormat="1">
      <alignment vertical="center"/>
    </xf>
    <xf numFmtId="0" fontId="0" fillId="3" borderId="6" xfId="3" applyFont="1">
      <alignment vertical="center"/>
    </xf>
    <xf numFmtId="176" fontId="0" fillId="0" borderId="0" xfId="0" applyNumberFormat="1">
      <alignment vertical="center"/>
    </xf>
    <xf numFmtId="1" fontId="0" fillId="0" borderId="0" xfId="0" applyNumberFormat="1">
      <alignment vertical="center"/>
    </xf>
    <xf numFmtId="0" fontId="25" fillId="0" borderId="0" xfId="0" applyFont="1">
      <alignment vertical="center"/>
    </xf>
    <xf numFmtId="0" fontId="11" fillId="0" borderId="0" xfId="0" applyFont="1">
      <alignment vertical="center"/>
    </xf>
    <xf numFmtId="179" fontId="0" fillId="0" borderId="0" xfId="0" applyNumberFormat="1">
      <alignment vertical="center"/>
    </xf>
    <xf numFmtId="0" fontId="19" fillId="0" borderId="19" xfId="0" applyFont="1" applyBorder="1" applyAlignment="1">
      <alignment horizontal="center" vertical="center"/>
    </xf>
    <xf numFmtId="0" fontId="19" fillId="0" borderId="20" xfId="0" applyFont="1" applyBorder="1" applyAlignment="1">
      <alignment horizontal="center" vertical="center"/>
    </xf>
    <xf numFmtId="0" fontId="19" fillId="0" borderId="21" xfId="0" applyFont="1" applyBorder="1" applyAlignment="1">
      <alignment horizontal="center" vertical="center"/>
    </xf>
    <xf numFmtId="0" fontId="19" fillId="0" borderId="22" xfId="0" applyFont="1" applyBorder="1" applyAlignment="1">
      <alignment horizontal="center" vertical="center"/>
    </xf>
    <xf numFmtId="0" fontId="19" fillId="0" borderId="23" xfId="0" applyFont="1" applyBorder="1" applyAlignment="1">
      <alignment horizontal="center" vertical="center"/>
    </xf>
    <xf numFmtId="176" fontId="0" fillId="3" borderId="6" xfId="3" applyNumberFormat="1" applyFont="1" applyAlignment="1">
      <alignment vertical="center"/>
    </xf>
    <xf numFmtId="0" fontId="13" fillId="2" borderId="5" xfId="2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1" xfId="1" applyAlignment="1">
      <alignment horizontal="center" vertical="center"/>
    </xf>
    <xf numFmtId="0" fontId="0" fillId="0" borderId="15" xfId="0" applyBorder="1" applyAlignment="1">
      <alignment horizontal="left" vertical="center"/>
    </xf>
    <xf numFmtId="0" fontId="0" fillId="0" borderId="26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3" borderId="29" xfId="3" applyFont="1" applyBorder="1" applyAlignment="1">
      <alignment horizontal="center" vertical="center"/>
    </xf>
    <xf numFmtId="0" fontId="0" fillId="3" borderId="30" xfId="3" applyFont="1" applyBorder="1" applyAlignment="1">
      <alignment horizontal="center" vertical="center"/>
    </xf>
    <xf numFmtId="176" fontId="0" fillId="3" borderId="12" xfId="3" applyNumberFormat="1" applyFont="1" applyBorder="1" applyAlignment="1">
      <alignment vertical="center"/>
    </xf>
    <xf numFmtId="176" fontId="0" fillId="3" borderId="13" xfId="3" applyNumberFormat="1" applyFont="1" applyBorder="1" applyAlignment="1">
      <alignment vertical="center"/>
    </xf>
    <xf numFmtId="0" fontId="0" fillId="0" borderId="2" xfId="0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0" fillId="3" borderId="6" xfId="3" applyFont="1" applyAlignment="1">
      <alignment vertical="center"/>
    </xf>
    <xf numFmtId="0" fontId="14" fillId="0" borderId="0" xfId="0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7" fillId="0" borderId="14" xfId="0" applyFont="1" applyBorder="1" applyAlignment="1">
      <alignment horizontal="center" vertical="center"/>
    </xf>
    <xf numFmtId="0" fontId="0" fillId="3" borderId="12" xfId="3" applyFont="1" applyBorder="1" applyAlignment="1">
      <alignment vertical="center"/>
    </xf>
    <xf numFmtId="0" fontId="0" fillId="3" borderId="13" xfId="3" applyFont="1" applyBorder="1" applyAlignment="1">
      <alignment vertical="center"/>
    </xf>
    <xf numFmtId="0" fontId="0" fillId="3" borderId="6" xfId="3" applyFont="1" applyAlignment="1">
      <alignment horizontal="center" vertical="center"/>
    </xf>
    <xf numFmtId="2" fontId="0" fillId="3" borderId="12" xfId="3" applyNumberFormat="1" applyFont="1" applyBorder="1" applyAlignment="1">
      <alignment vertical="center"/>
    </xf>
    <xf numFmtId="2" fontId="0" fillId="3" borderId="13" xfId="3" applyNumberFormat="1" applyFont="1" applyBorder="1" applyAlignment="1">
      <alignment vertical="center"/>
    </xf>
    <xf numFmtId="177" fontId="0" fillId="3" borderId="6" xfId="3" applyNumberFormat="1" applyFont="1" applyAlignment="1">
      <alignment horizontal="center" vertical="center"/>
    </xf>
    <xf numFmtId="0" fontId="0" fillId="0" borderId="25" xfId="0" applyBorder="1" applyAlignment="1">
      <alignment horizontal="left" vertical="center"/>
    </xf>
    <xf numFmtId="1" fontId="0" fillId="3" borderId="6" xfId="3" applyNumberFormat="1" applyFont="1" applyAlignment="1">
      <alignment horizontal="right" vertical="center"/>
    </xf>
    <xf numFmtId="0" fontId="0" fillId="0" borderId="2" xfId="0" quotePrefix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76" fontId="0" fillId="3" borderId="6" xfId="3" applyNumberFormat="1" applyFont="1" applyAlignment="1">
      <alignment horizontal="center" vertical="center"/>
    </xf>
    <xf numFmtId="1" fontId="0" fillId="3" borderId="6" xfId="3" applyNumberFormat="1" applyFont="1" applyAlignment="1">
      <alignment horizontal="center" vertical="center"/>
    </xf>
    <xf numFmtId="0" fontId="0" fillId="0" borderId="0" xfId="0">
      <alignment vertical="center"/>
    </xf>
    <xf numFmtId="2" fontId="0" fillId="3" borderId="6" xfId="3" applyNumberFormat="1" applyFont="1" applyAlignment="1">
      <alignment vertical="center"/>
    </xf>
  </cellXfs>
  <cellStyles count="4">
    <cellStyle name="계산" xfId="2" builtinId="22"/>
    <cellStyle name="메모" xfId="3" builtinId="10"/>
    <cellStyle name="제목 1" xfId="1" builtinId="1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22</xdr:col>
      <xdr:colOff>190141</xdr:colOff>
      <xdr:row>72</xdr:row>
      <xdr:rowOff>124366</xdr:rowOff>
    </xdr:from>
    <xdr:to>
      <xdr:col>31</xdr:col>
      <xdr:colOff>56307</xdr:colOff>
      <xdr:row>83</xdr:row>
      <xdr:rowOff>2486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3AB233ED-A96A-4F4C-BABA-8BBA60AB20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 rot="5400000">
          <a:off x="6671100" y="16749937"/>
          <a:ext cx="2343414" cy="2485802"/>
        </a:xfrm>
        <a:prstGeom prst="rect">
          <a:avLst/>
        </a:prstGeom>
      </xdr:spPr>
    </xdr:pic>
    <xdr:clientData/>
  </xdr:twoCellAnchor>
  <xdr:twoCellAnchor editAs="oneCell">
    <xdr:from>
      <xdr:col>23</xdr:col>
      <xdr:colOff>95834</xdr:colOff>
      <xdr:row>95</xdr:row>
      <xdr:rowOff>200697</xdr:rowOff>
    </xdr:from>
    <xdr:to>
      <xdr:col>27</xdr:col>
      <xdr:colOff>132156</xdr:colOff>
      <xdr:row>102</xdr:row>
      <xdr:rowOff>57564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61395638-2B2B-4FF0-BF23-A9F5C3DFF8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796952" y="22052168"/>
          <a:ext cx="1204273" cy="1420610"/>
        </a:xfrm>
        <a:prstGeom prst="rect">
          <a:avLst/>
        </a:prstGeom>
      </xdr:spPr>
    </xdr:pic>
    <xdr:clientData/>
  </xdr:twoCellAnchor>
  <xdr:twoCellAnchor>
    <xdr:from>
      <xdr:col>17</xdr:col>
      <xdr:colOff>192448</xdr:colOff>
      <xdr:row>39</xdr:row>
      <xdr:rowOff>61713</xdr:rowOff>
    </xdr:from>
    <xdr:to>
      <xdr:col>28</xdr:col>
      <xdr:colOff>64940</xdr:colOff>
      <xdr:row>47</xdr:row>
      <xdr:rowOff>211205</xdr:rowOff>
    </xdr:to>
    <xdr:grpSp>
      <xdr:nvGrpSpPr>
        <xdr:cNvPr id="33" name="그룹 32">
          <a:extLst>
            <a:ext uri="{FF2B5EF4-FFF2-40B4-BE49-F238E27FC236}">
              <a16:creationId xmlns:a16="http://schemas.microsoft.com/office/drawing/2014/main" id="{A71E379A-8D37-D0B7-A2E4-773B89C784EB}"/>
            </a:ext>
          </a:extLst>
        </xdr:cNvPr>
        <xdr:cNvGrpSpPr/>
      </xdr:nvGrpSpPr>
      <xdr:grpSpPr>
        <a:xfrm>
          <a:off x="5050198" y="8916153"/>
          <a:ext cx="3013837" cy="2108921"/>
          <a:chOff x="13355509" y="713500"/>
          <a:chExt cx="3050573" cy="1991367"/>
        </a:xfrm>
      </xdr:grpSpPr>
      <xdr:pic>
        <xdr:nvPicPr>
          <xdr:cNvPr id="12" name="그림 11">
            <a:extLst>
              <a:ext uri="{FF2B5EF4-FFF2-40B4-BE49-F238E27FC236}">
                <a16:creationId xmlns:a16="http://schemas.microsoft.com/office/drawing/2014/main" id="{C20ED1E6-BFC8-41A6-91B6-3090B3AA912F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3"/>
          <a:srcRect r="12631"/>
          <a:stretch/>
        </xdr:blipFill>
        <xdr:spPr>
          <a:xfrm rot="5400000">
            <a:off x="13798920" y="423369"/>
            <a:ext cx="1838087" cy="2724909"/>
          </a:xfrm>
          <a:prstGeom prst="rect">
            <a:avLst/>
          </a:prstGeom>
        </xdr:spPr>
      </xdr:pic>
      <xdr:sp macro="" textlink="R26">
        <xdr:nvSpPr>
          <xdr:cNvPr id="13" name="직사각형 12">
            <a:extLst>
              <a:ext uri="{FF2B5EF4-FFF2-40B4-BE49-F238E27FC236}">
                <a16:creationId xmlns:a16="http://schemas.microsoft.com/office/drawing/2014/main" id="{B193CB9F-D54B-4196-A0E1-8B4F07685702}"/>
              </a:ext>
            </a:extLst>
          </xdr:cNvPr>
          <xdr:cNvSpPr/>
        </xdr:nvSpPr>
        <xdr:spPr>
          <a:xfrm>
            <a:off x="14555114" y="713500"/>
            <a:ext cx="244629" cy="234314"/>
          </a:xfrm>
          <a:prstGeom prst="rect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overflow" horzOverflow="overflow" wrap="none" rtlCol="0" anchor="ctr"/>
          <a:lstStyle/>
          <a:p>
            <a:pPr algn="ctr"/>
            <a:fld id="{A1E56AE5-E130-409C-9BDC-605CB3DD7053}" type="TxLink">
              <a:rPr lang="en-US" altLang="en-US" sz="1000" b="0" i="0" u="none" strike="noStrike">
                <a:solidFill>
                  <a:srgbClr val="000000"/>
                </a:solidFill>
                <a:latin typeface="맑은 고딕"/>
                <a:ea typeface="맑은 고딕"/>
              </a:rPr>
              <a:pPr algn="ctr"/>
              <a:t>10000</a:t>
            </a:fld>
            <a:endParaRPr lang="ko-KR" altLang="en-US" sz="1000"/>
          </a:p>
        </xdr:txBody>
      </xdr:sp>
      <xdr:sp macro="" textlink="R27">
        <xdr:nvSpPr>
          <xdr:cNvPr id="14" name="직사각형 13">
            <a:extLst>
              <a:ext uri="{FF2B5EF4-FFF2-40B4-BE49-F238E27FC236}">
                <a16:creationId xmlns:a16="http://schemas.microsoft.com/office/drawing/2014/main" id="{2FA310F8-F4EE-45BF-94C0-67A528678CC3}"/>
              </a:ext>
            </a:extLst>
          </xdr:cNvPr>
          <xdr:cNvSpPr/>
        </xdr:nvSpPr>
        <xdr:spPr>
          <a:xfrm>
            <a:off x="16151929" y="1279509"/>
            <a:ext cx="254153" cy="211234"/>
          </a:xfrm>
          <a:prstGeom prst="rect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overflow" horzOverflow="overflow" wrap="none" rtlCol="0" anchor="ctr"/>
          <a:lstStyle/>
          <a:p>
            <a:pPr algn="ctr"/>
            <a:fld id="{A2072DE8-D5BF-4BC4-B142-BAAC1651264A}" type="TxLink">
              <a:rPr lang="en-US" altLang="en-US" sz="1000" b="0" i="0" u="none" strike="noStrike">
                <a:solidFill>
                  <a:srgbClr val="000000"/>
                </a:solidFill>
                <a:latin typeface="맑은 고딕"/>
                <a:ea typeface="맑은 고딕"/>
              </a:rPr>
              <a:pPr algn="ctr"/>
              <a:t>5000</a:t>
            </a:fld>
            <a:endParaRPr lang="ko-KR" altLang="en-US" sz="1000"/>
          </a:p>
        </xdr:txBody>
      </xdr:sp>
      <xdr:sp macro="" textlink="R28">
        <xdr:nvSpPr>
          <xdr:cNvPr id="15" name="직사각형 14">
            <a:extLst>
              <a:ext uri="{FF2B5EF4-FFF2-40B4-BE49-F238E27FC236}">
                <a16:creationId xmlns:a16="http://schemas.microsoft.com/office/drawing/2014/main" id="{DFE650B2-A8E1-4EA5-B899-F71A119E8A37}"/>
              </a:ext>
            </a:extLst>
          </xdr:cNvPr>
          <xdr:cNvSpPr/>
        </xdr:nvSpPr>
        <xdr:spPr>
          <a:xfrm>
            <a:off x="16151929" y="2296407"/>
            <a:ext cx="252249" cy="226476"/>
          </a:xfrm>
          <a:prstGeom prst="rect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overflow" horzOverflow="overflow" wrap="none" rtlCol="0" anchor="ctr"/>
          <a:lstStyle/>
          <a:p>
            <a:pPr algn="ctr"/>
            <a:fld id="{60B146CE-6C66-48C5-911D-460FA61135CA}" type="TxLink">
              <a:rPr lang="en-US" altLang="en-US" sz="1000" b="0" i="0" u="none" strike="noStrike">
                <a:solidFill>
                  <a:srgbClr val="000000"/>
                </a:solidFill>
                <a:latin typeface="맑은 고딕"/>
                <a:ea typeface="맑은 고딕"/>
              </a:rPr>
              <a:pPr algn="ctr"/>
              <a:t>5000</a:t>
            </a:fld>
            <a:endParaRPr lang="ko-KR" altLang="en-US" sz="1000"/>
          </a:p>
        </xdr:txBody>
      </xdr:sp>
      <xdr:sp macro="" textlink="R11">
        <xdr:nvSpPr>
          <xdr:cNvPr id="16" name="직사각형 15">
            <a:extLst>
              <a:ext uri="{FF2B5EF4-FFF2-40B4-BE49-F238E27FC236}">
                <a16:creationId xmlns:a16="http://schemas.microsoft.com/office/drawing/2014/main" id="{1CE62A28-FF19-4FE6-9E86-31F7A57062B8}"/>
              </a:ext>
            </a:extLst>
          </xdr:cNvPr>
          <xdr:cNvSpPr/>
        </xdr:nvSpPr>
        <xdr:spPr>
          <a:xfrm>
            <a:off x="13593447" y="1092286"/>
            <a:ext cx="261773" cy="224571"/>
          </a:xfrm>
          <a:prstGeom prst="rect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overflow" horzOverflow="overflow" wrap="none" rtlCol="0" anchor="ctr"/>
          <a:lstStyle/>
          <a:p>
            <a:pPr algn="ctr"/>
            <a:fld id="{C14B15A1-5D2E-4DD1-9019-5525166D0182}" type="TxLink">
              <a:rPr lang="en-US" altLang="en-US" sz="1000" b="0" i="0" u="none" strike="noStrike">
                <a:solidFill>
                  <a:srgbClr val="000000"/>
                </a:solidFill>
                <a:latin typeface="맑은 고딕"/>
                <a:ea typeface="맑은 고딕"/>
              </a:rPr>
              <a:pPr algn="ctr"/>
              <a:t>1700</a:t>
            </a:fld>
            <a:endParaRPr lang="ko-KR" altLang="en-US" sz="1000"/>
          </a:p>
        </xdr:txBody>
      </xdr:sp>
    </xdr:grpSp>
    <xdr:clientData/>
  </xdr:twoCellAnchor>
  <xdr:oneCellAnchor>
    <xdr:from>
      <xdr:col>63</xdr:col>
      <xdr:colOff>28238</xdr:colOff>
      <xdr:row>59</xdr:row>
      <xdr:rowOff>177645</xdr:rowOff>
    </xdr:from>
    <xdr:ext cx="1326389" cy="35208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8" name="TextBox 17">
              <a:extLst>
                <a:ext uri="{FF2B5EF4-FFF2-40B4-BE49-F238E27FC236}">
                  <a16:creationId xmlns:a16="http://schemas.microsoft.com/office/drawing/2014/main" id="{DA9E6EC8-1B72-4F85-B4D5-9D74D1D9BB85}"/>
                </a:ext>
              </a:extLst>
            </xdr:cNvPr>
            <xdr:cNvSpPr txBox="1"/>
          </xdr:nvSpPr>
          <xdr:spPr>
            <a:xfrm>
              <a:off x="18030488" y="13689538"/>
              <a:ext cx="1326389" cy="35208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US" altLang="ko-KR" sz="11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altLang="ko-KR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ko-KR" altLang="en-US" sz="1100" i="1">
                                <a:latin typeface="Cambria Math" panose="02040503050406030204" pitchFamily="18" charset="0"/>
                              </a:rPr>
                              <m:t>𝛼</m:t>
                            </m:r>
                          </m:e>
                          <m:sub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𝑝</m:t>
                            </m:r>
                          </m:sub>
                        </m:sSub>
                      </m:num>
                      <m:den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𝑔</m:t>
                        </m:r>
                      </m:den>
                    </m:f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altLang="ko-KR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𝑃</m:t>
                            </m:r>
                          </m:e>
                          <m:sub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𝑜</m:t>
                            </m:r>
                          </m:sub>
                        </m:sSub>
                        <m:r>
                          <m:rPr>
                            <m:sty m:val="p"/>
                          </m:rPr>
                          <a:rPr lang="en-US" altLang="ko-KR" sz="1100" b="0" i="0">
                            <a:latin typeface="Cambria Math" panose="02040503050406030204" pitchFamily="18" charset="0"/>
                          </a:rPr>
                          <m:t>exp</m:t>
                        </m:r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⁡(−0.35</m:t>
                        </m:r>
                        <m:sSub>
                          <m:sSubPr>
                            <m:ctrlP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𝑓</m:t>
                            </m:r>
                          </m:e>
                          <m:sub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𝑛</m:t>
                            </m:r>
                          </m:sub>
                        </m:sSub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)</m:t>
                        </m:r>
                      </m:num>
                      <m:den>
                        <m:r>
                          <a:rPr lang="ko-KR" altLang="en-US" sz="1100" b="0" i="1">
                            <a:latin typeface="Cambria Math" panose="02040503050406030204" pitchFamily="18" charset="0"/>
                          </a:rPr>
                          <m:t>𝛽</m:t>
                        </m:r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𝑊</m:t>
                        </m:r>
                      </m:den>
                    </m:f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18" name="TextBox 17">
              <a:extLst>
                <a:ext uri="{FF2B5EF4-FFF2-40B4-BE49-F238E27FC236}">
                  <a16:creationId xmlns:a16="http://schemas.microsoft.com/office/drawing/2014/main" id="{DA9E6EC8-1B72-4F85-B4D5-9D74D1D9BB85}"/>
                </a:ext>
              </a:extLst>
            </xdr:cNvPr>
            <xdr:cNvSpPr txBox="1"/>
          </xdr:nvSpPr>
          <xdr:spPr>
            <a:xfrm>
              <a:off x="18030488" y="13689538"/>
              <a:ext cx="1326389" cy="35208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100" i="0">
                  <a:latin typeface="Cambria Math" panose="02040503050406030204" pitchFamily="18" charset="0"/>
                </a:rPr>
                <a:t>𝛼</a:t>
              </a:r>
              <a:r>
                <a:rPr lang="en-US" altLang="ko-KR" sz="1100" i="0">
                  <a:latin typeface="Cambria Math" panose="02040503050406030204" pitchFamily="18" charset="0"/>
                </a:rPr>
                <a:t>_</a:t>
              </a:r>
              <a:r>
                <a:rPr lang="en-US" altLang="ko-KR" sz="1100" b="0" i="0">
                  <a:latin typeface="Cambria Math" panose="02040503050406030204" pitchFamily="18" charset="0"/>
                </a:rPr>
                <a:t>𝑝/𝑔=(𝑃_𝑜 exp⁡(−0.35𝑓_𝑛))/</a:t>
              </a:r>
              <a:r>
                <a:rPr lang="ko-KR" altLang="en-US" sz="1100" b="0" i="0">
                  <a:latin typeface="Cambria Math" panose="02040503050406030204" pitchFamily="18" charset="0"/>
                </a:rPr>
                <a:t>𝛽</a:t>
              </a:r>
              <a:r>
                <a:rPr lang="en-US" altLang="ko-KR" sz="1100" b="0" i="0">
                  <a:latin typeface="Cambria Math" panose="02040503050406030204" pitchFamily="18" charset="0"/>
                </a:rPr>
                <a:t>𝑊</a:t>
              </a:r>
              <a:endParaRPr lang="ko-KR" altLang="en-US" sz="1100"/>
            </a:p>
          </xdr:txBody>
        </xdr:sp>
      </mc:Fallback>
    </mc:AlternateContent>
    <xdr:clientData/>
  </xdr:oneCellAnchor>
  <xdr:oneCellAnchor>
    <xdr:from>
      <xdr:col>72</xdr:col>
      <xdr:colOff>45383</xdr:colOff>
      <xdr:row>60</xdr:row>
      <xdr:rowOff>10470</xdr:rowOff>
    </xdr:from>
    <xdr:ext cx="185179" cy="31951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9" name="TextBox 18">
              <a:extLst>
                <a:ext uri="{FF2B5EF4-FFF2-40B4-BE49-F238E27FC236}">
                  <a16:creationId xmlns:a16="http://schemas.microsoft.com/office/drawing/2014/main" id="{C2AD6149-EDCE-4A55-88C6-5FC8FC5BACA0}"/>
                </a:ext>
              </a:extLst>
            </xdr:cNvPr>
            <xdr:cNvSpPr txBox="1"/>
          </xdr:nvSpPr>
          <xdr:spPr>
            <a:xfrm>
              <a:off x="20619383" y="13740077"/>
              <a:ext cx="185179" cy="31951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US" altLang="ko-KR" sz="11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altLang="ko-KR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ko-KR" altLang="en-US" sz="1100" i="1">
                                <a:latin typeface="Cambria Math" panose="02040503050406030204" pitchFamily="18" charset="0"/>
                              </a:rPr>
                              <m:t>𝛼</m:t>
                            </m:r>
                          </m:e>
                          <m:sub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𝑜</m:t>
                            </m:r>
                          </m:sub>
                        </m:sSub>
                      </m:num>
                      <m:den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𝑔</m:t>
                        </m:r>
                      </m:den>
                    </m:f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19" name="TextBox 18">
              <a:extLst>
                <a:ext uri="{FF2B5EF4-FFF2-40B4-BE49-F238E27FC236}">
                  <a16:creationId xmlns:a16="http://schemas.microsoft.com/office/drawing/2014/main" id="{C2AD6149-EDCE-4A55-88C6-5FC8FC5BACA0}"/>
                </a:ext>
              </a:extLst>
            </xdr:cNvPr>
            <xdr:cNvSpPr txBox="1"/>
          </xdr:nvSpPr>
          <xdr:spPr>
            <a:xfrm>
              <a:off x="20619383" y="13740077"/>
              <a:ext cx="185179" cy="31951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100" i="0">
                  <a:latin typeface="Cambria Math" panose="02040503050406030204" pitchFamily="18" charset="0"/>
                </a:rPr>
                <a:t>𝛼</a:t>
              </a:r>
              <a:r>
                <a:rPr lang="en-US" altLang="ko-KR" sz="1100" i="0">
                  <a:latin typeface="Cambria Math" panose="02040503050406030204" pitchFamily="18" charset="0"/>
                </a:rPr>
                <a:t>_</a:t>
              </a:r>
              <a:r>
                <a:rPr lang="en-US" altLang="ko-KR" sz="1100" b="0" i="0">
                  <a:latin typeface="Cambria Math" panose="02040503050406030204" pitchFamily="18" charset="0"/>
                </a:rPr>
                <a:t>𝑜/𝑔</a:t>
              </a:r>
              <a:endParaRPr lang="ko-KR" altLang="en-US" sz="1100"/>
            </a:p>
          </xdr:txBody>
        </xdr:sp>
      </mc:Fallback>
    </mc:AlternateContent>
    <xdr:clientData/>
  </xdr:oneCellAnchor>
  <xdr:oneCellAnchor>
    <xdr:from>
      <xdr:col>40</xdr:col>
      <xdr:colOff>28462</xdr:colOff>
      <xdr:row>22</xdr:row>
      <xdr:rowOff>161027</xdr:rowOff>
    </xdr:from>
    <xdr:ext cx="985013" cy="3444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F7F0FF2D-1446-46D1-AEB9-00FBC9951F3C}"/>
                </a:ext>
              </a:extLst>
            </xdr:cNvPr>
            <xdr:cNvSpPr txBox="1"/>
          </xdr:nvSpPr>
          <xdr:spPr>
            <a:xfrm>
              <a:off x="11456557" y="11545307"/>
              <a:ext cx="985013" cy="344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1.10</m:t>
                    </m:r>
                    <m:rad>
                      <m:radPr>
                        <m:degHide m:val="on"/>
                        <m:ctrlPr>
                          <a:rPr lang="en-US" altLang="ko-KR" sz="1100" b="0" i="1"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sSub>
                          <m:sSubPr>
                            <m:ctrlP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𝑘</m:t>
                            </m:r>
                          </m:e>
                          <m:sub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𝑣</m:t>
                            </m:r>
                          </m:sub>
                        </m:sSub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𝐸</m:t>
                        </m:r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/</m:t>
                        </m:r>
                        <m:sSub>
                          <m:sSubPr>
                            <m:ctrlP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𝐹</m:t>
                            </m:r>
                          </m:e>
                          <m:sub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𝑦</m:t>
                            </m:r>
                          </m:sub>
                        </m:sSub>
                      </m:e>
                    </m:rad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F7F0FF2D-1446-46D1-AEB9-00FBC9951F3C}"/>
                </a:ext>
              </a:extLst>
            </xdr:cNvPr>
            <xdr:cNvSpPr txBox="1"/>
          </xdr:nvSpPr>
          <xdr:spPr>
            <a:xfrm>
              <a:off x="11456557" y="11545307"/>
              <a:ext cx="985013" cy="344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altLang="ko-KR" sz="1100" b="0" i="0">
                  <a:latin typeface="Cambria Math" panose="02040503050406030204" pitchFamily="18" charset="0"/>
                </a:rPr>
                <a:t>1.10√(𝑘_𝑣 𝐸/𝐹_𝑦 )=</a:t>
              </a:r>
              <a:endParaRPr lang="ko-KR" altLang="en-US" sz="1100"/>
            </a:p>
          </xdr:txBody>
        </xdr:sp>
      </mc:Fallback>
    </mc:AlternateContent>
    <xdr:clientData/>
  </xdr:oneCellAnchor>
  <xdr:oneCellAnchor>
    <xdr:from>
      <xdr:col>48</xdr:col>
      <xdr:colOff>18937</xdr:colOff>
      <xdr:row>22</xdr:row>
      <xdr:rowOff>168647</xdr:rowOff>
    </xdr:from>
    <xdr:ext cx="985013" cy="3444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1" name="TextBox 20">
              <a:extLst>
                <a:ext uri="{FF2B5EF4-FFF2-40B4-BE49-F238E27FC236}">
                  <a16:creationId xmlns:a16="http://schemas.microsoft.com/office/drawing/2014/main" id="{09B66FFE-B77A-43CB-98B3-E4176478FFF5}"/>
                </a:ext>
              </a:extLst>
            </xdr:cNvPr>
            <xdr:cNvSpPr txBox="1"/>
          </xdr:nvSpPr>
          <xdr:spPr>
            <a:xfrm>
              <a:off x="13738747" y="11554832"/>
              <a:ext cx="985013" cy="344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1.37</m:t>
                    </m:r>
                    <m:rad>
                      <m:radPr>
                        <m:degHide m:val="on"/>
                        <m:ctrlPr>
                          <a:rPr lang="en-US" altLang="ko-KR" sz="1100" b="0" i="1"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sSub>
                          <m:sSubPr>
                            <m:ctrlP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𝑘</m:t>
                            </m:r>
                          </m:e>
                          <m:sub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𝑣</m:t>
                            </m:r>
                          </m:sub>
                        </m:sSub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𝐸</m:t>
                        </m:r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/</m:t>
                        </m:r>
                        <m:sSub>
                          <m:sSubPr>
                            <m:ctrlP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𝐹</m:t>
                            </m:r>
                          </m:e>
                          <m:sub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𝑦</m:t>
                            </m:r>
                          </m:sub>
                        </m:sSub>
                      </m:e>
                    </m:rad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21" name="TextBox 20">
              <a:extLst>
                <a:ext uri="{FF2B5EF4-FFF2-40B4-BE49-F238E27FC236}">
                  <a16:creationId xmlns:a16="http://schemas.microsoft.com/office/drawing/2014/main" id="{09B66FFE-B77A-43CB-98B3-E4176478FFF5}"/>
                </a:ext>
              </a:extLst>
            </xdr:cNvPr>
            <xdr:cNvSpPr txBox="1"/>
          </xdr:nvSpPr>
          <xdr:spPr>
            <a:xfrm>
              <a:off x="13738747" y="11554832"/>
              <a:ext cx="985013" cy="344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altLang="ko-KR" sz="1100" b="0" i="0">
                  <a:latin typeface="Cambria Math" panose="02040503050406030204" pitchFamily="18" charset="0"/>
                </a:rPr>
                <a:t>1.37√(𝑘_𝑣 𝐸/𝐹_𝑦 )=</a:t>
              </a:r>
              <a:endParaRPr lang="ko-KR" altLang="en-US" sz="1100"/>
            </a:p>
          </xdr:txBody>
        </xdr:sp>
      </mc:Fallback>
    </mc:AlternateContent>
    <xdr:clientData/>
  </xdr:oneCellAnchor>
  <xdr:twoCellAnchor>
    <xdr:from>
      <xdr:col>4</xdr:col>
      <xdr:colOff>246755</xdr:colOff>
      <xdr:row>52</xdr:row>
      <xdr:rowOff>168010</xdr:rowOff>
    </xdr:from>
    <xdr:to>
      <xdr:col>14</xdr:col>
      <xdr:colOff>278759</xdr:colOff>
      <xdr:row>63</xdr:row>
      <xdr:rowOff>69081</xdr:rowOff>
    </xdr:to>
    <xdr:grpSp>
      <xdr:nvGrpSpPr>
        <xdr:cNvPr id="32" name="그룹 31">
          <a:extLst>
            <a:ext uri="{FF2B5EF4-FFF2-40B4-BE49-F238E27FC236}">
              <a16:creationId xmlns:a16="http://schemas.microsoft.com/office/drawing/2014/main" id="{1471619F-5171-A908-C120-CC70D8B8CA3C}"/>
            </a:ext>
          </a:extLst>
        </xdr:cNvPr>
        <xdr:cNvGrpSpPr/>
      </xdr:nvGrpSpPr>
      <xdr:grpSpPr>
        <a:xfrm>
          <a:off x="1393565" y="12159713"/>
          <a:ext cx="2889504" cy="2290213"/>
          <a:chOff x="9297737" y="763337"/>
          <a:chExt cx="2932822" cy="2188120"/>
        </a:xfrm>
      </xdr:grpSpPr>
      <xdr:pic>
        <xdr:nvPicPr>
          <xdr:cNvPr id="2" name="그림 1">
            <a:extLst>
              <a:ext uri="{FF2B5EF4-FFF2-40B4-BE49-F238E27FC236}">
                <a16:creationId xmlns:a16="http://schemas.microsoft.com/office/drawing/2014/main" id="{F32AFA40-D810-41A6-B103-F079C352271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9540382" y="878003"/>
            <a:ext cx="2690177" cy="1913679"/>
          </a:xfrm>
          <a:prstGeom prst="rect">
            <a:avLst/>
          </a:prstGeom>
        </xdr:spPr>
      </xdr:pic>
      <xdr:sp macro="" textlink="AA7">
        <xdr:nvSpPr>
          <xdr:cNvPr id="6" name="직사각형 5">
            <a:extLst>
              <a:ext uri="{FF2B5EF4-FFF2-40B4-BE49-F238E27FC236}">
                <a16:creationId xmlns:a16="http://schemas.microsoft.com/office/drawing/2014/main" id="{E6D9FF6C-08D7-475A-B9AF-6DEAE0EF206F}"/>
              </a:ext>
            </a:extLst>
          </xdr:cNvPr>
          <xdr:cNvSpPr/>
        </xdr:nvSpPr>
        <xdr:spPr>
          <a:xfrm>
            <a:off x="9297737" y="1114481"/>
            <a:ext cx="265141" cy="201711"/>
          </a:xfrm>
          <a:prstGeom prst="rect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rtlCol="0" anchor="ctr"/>
          <a:lstStyle/>
          <a:p>
            <a:pPr algn="ctr"/>
            <a:r>
              <a:rPr lang="en-US" altLang="en-US" sz="1100" b="0" i="0" u="none" strike="noStrike">
                <a:solidFill>
                  <a:srgbClr val="000000"/>
                </a:solidFill>
                <a:latin typeface="맑은 고딕"/>
                <a:ea typeface="맑은 고딕"/>
              </a:rPr>
              <a:t>150</a:t>
            </a:r>
            <a:endParaRPr lang="ko-KR" altLang="en-US" sz="1100"/>
          </a:p>
        </xdr:txBody>
      </xdr:sp>
      <xdr:sp macro="" textlink="I7">
        <xdr:nvSpPr>
          <xdr:cNvPr id="7" name="직사각형 6">
            <a:extLst>
              <a:ext uri="{FF2B5EF4-FFF2-40B4-BE49-F238E27FC236}">
                <a16:creationId xmlns:a16="http://schemas.microsoft.com/office/drawing/2014/main" id="{D63D19CD-0793-454A-B171-1AE02083848A}"/>
              </a:ext>
            </a:extLst>
          </xdr:cNvPr>
          <xdr:cNvSpPr/>
        </xdr:nvSpPr>
        <xdr:spPr>
          <a:xfrm>
            <a:off x="9297737" y="1879047"/>
            <a:ext cx="263236" cy="213140"/>
          </a:xfrm>
          <a:prstGeom prst="rect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rtlCol="0" anchor="ctr"/>
          <a:lstStyle/>
          <a:p>
            <a:pPr algn="ctr"/>
            <a:r>
              <a:rPr lang="en-US" altLang="en-US" sz="1100" b="0" i="0" u="none" strike="noStrike">
                <a:solidFill>
                  <a:srgbClr val="000000"/>
                </a:solidFill>
                <a:latin typeface="맑은 고딕"/>
                <a:ea typeface="맑은 고딕"/>
              </a:rPr>
              <a:t>600</a:t>
            </a:r>
            <a:endParaRPr lang="ko-KR" altLang="en-US" sz="900"/>
          </a:p>
        </xdr:txBody>
      </xdr:sp>
      <xdr:sp macro="" textlink="#REF!">
        <xdr:nvSpPr>
          <xdr:cNvPr id="8" name="직사각형 7">
            <a:extLst>
              <a:ext uri="{FF2B5EF4-FFF2-40B4-BE49-F238E27FC236}">
                <a16:creationId xmlns:a16="http://schemas.microsoft.com/office/drawing/2014/main" id="{404769DE-2BB5-437F-94B6-2513206854B2}"/>
              </a:ext>
            </a:extLst>
          </xdr:cNvPr>
          <xdr:cNvSpPr/>
        </xdr:nvSpPr>
        <xdr:spPr>
          <a:xfrm>
            <a:off x="10058494" y="1240183"/>
            <a:ext cx="265584" cy="213139"/>
          </a:xfrm>
          <a:prstGeom prst="rect">
            <a:avLst/>
          </a:prstGeom>
          <a:noFill/>
          <a:ln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rtlCol="0" anchor="ctr"/>
          <a:lstStyle/>
          <a:p>
            <a:pPr algn="ctr"/>
            <a:fld id="{075F17C5-B188-4A86-80DA-6275B0B4D1F8}" type="TxLink">
              <a:rPr lang="en-US" altLang="en-US" sz="1050" b="0" i="0" u="none" strike="noStrike">
                <a:solidFill>
                  <a:srgbClr val="000000"/>
                </a:solidFill>
                <a:latin typeface="맑은 고딕"/>
                <a:ea typeface="맑은 고딕"/>
              </a:rPr>
              <a:pPr algn="ctr"/>
              <a:t> </a:t>
            </a:fld>
            <a:endParaRPr lang="ko-KR" altLang="en-US" sz="900"/>
          </a:p>
        </xdr:txBody>
      </xdr:sp>
      <xdr:sp macro="" textlink="I8">
        <xdr:nvSpPr>
          <xdr:cNvPr id="9" name="직사각형 8">
            <a:extLst>
              <a:ext uri="{FF2B5EF4-FFF2-40B4-BE49-F238E27FC236}">
                <a16:creationId xmlns:a16="http://schemas.microsoft.com/office/drawing/2014/main" id="{FD86B922-BE0A-4AEC-B639-B9148F88CA80}"/>
              </a:ext>
            </a:extLst>
          </xdr:cNvPr>
          <xdr:cNvSpPr/>
        </xdr:nvSpPr>
        <xdr:spPr>
          <a:xfrm>
            <a:off x="10819919" y="2753556"/>
            <a:ext cx="252249" cy="184566"/>
          </a:xfrm>
          <a:prstGeom prst="rect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rtlCol="0" anchor="ctr"/>
          <a:lstStyle/>
          <a:p>
            <a:pPr algn="ctr"/>
            <a:fld id="{E77D13B8-7899-4F95-9BFA-84E31F432090}" type="TxLink">
              <a:rPr lang="en-US" altLang="en-US" sz="1100" b="0" i="0" u="none" strike="noStrike">
                <a:solidFill>
                  <a:srgbClr val="000000"/>
                </a:solidFill>
                <a:latin typeface="맑은 고딕"/>
                <a:ea typeface="맑은 고딕"/>
              </a:rPr>
              <a:pPr algn="ctr"/>
              <a:t>250</a:t>
            </a:fld>
            <a:endParaRPr lang="ko-KR" altLang="en-US" sz="800"/>
          </a:p>
        </xdr:txBody>
      </xdr:sp>
      <xdr:sp macro="" textlink="I9">
        <xdr:nvSpPr>
          <xdr:cNvPr id="10" name="직사각형 9">
            <a:extLst>
              <a:ext uri="{FF2B5EF4-FFF2-40B4-BE49-F238E27FC236}">
                <a16:creationId xmlns:a16="http://schemas.microsoft.com/office/drawing/2014/main" id="{2292852C-9877-4E84-AA7E-574EA7DAB794}"/>
              </a:ext>
            </a:extLst>
          </xdr:cNvPr>
          <xdr:cNvSpPr/>
        </xdr:nvSpPr>
        <xdr:spPr>
          <a:xfrm>
            <a:off x="10277116" y="2753556"/>
            <a:ext cx="254153" cy="197901"/>
          </a:xfrm>
          <a:prstGeom prst="rect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rtlCol="0" anchor="ctr"/>
          <a:lstStyle/>
          <a:p>
            <a:pPr algn="ctr"/>
            <a:fld id="{6F9E9FDE-7ECF-423E-B5FD-B836143D4BAE}" type="TxLink">
              <a:rPr lang="en-US" altLang="en-US" sz="1100" b="0" i="0" u="none" strike="noStrike">
                <a:solidFill>
                  <a:srgbClr val="000000"/>
                </a:solidFill>
                <a:latin typeface="맑은 고딕"/>
                <a:ea typeface="맑은 고딕"/>
              </a:rPr>
              <a:pPr algn="ctr"/>
              <a:t>80</a:t>
            </a:fld>
            <a:endParaRPr lang="ko-KR" altLang="en-US" sz="600"/>
          </a:p>
        </xdr:txBody>
      </xdr:sp>
      <xdr:sp macro="" textlink="I9">
        <xdr:nvSpPr>
          <xdr:cNvPr id="11" name="직사각형 10">
            <a:extLst>
              <a:ext uri="{FF2B5EF4-FFF2-40B4-BE49-F238E27FC236}">
                <a16:creationId xmlns:a16="http://schemas.microsoft.com/office/drawing/2014/main" id="{34CE632C-8FA0-452C-9C16-310A8D6600B6}"/>
              </a:ext>
            </a:extLst>
          </xdr:cNvPr>
          <xdr:cNvSpPr/>
        </xdr:nvSpPr>
        <xdr:spPr>
          <a:xfrm>
            <a:off x="11397572" y="2749746"/>
            <a:ext cx="252248" cy="186471"/>
          </a:xfrm>
          <a:prstGeom prst="rect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rtlCol="0" anchor="ctr"/>
          <a:lstStyle/>
          <a:p>
            <a:pPr algn="ctr"/>
            <a:fld id="{6F9E9FDE-7ECF-423E-B5FD-B836143D4BAE}" type="TxLink">
              <a:rPr lang="en-US" altLang="en-US" sz="1100" b="0" i="0" u="none" strike="noStrike">
                <a:solidFill>
                  <a:srgbClr val="000000"/>
                </a:solidFill>
                <a:latin typeface="맑은 고딕"/>
                <a:ea typeface="맑은 고딕"/>
              </a:rPr>
              <a:pPr algn="ctr"/>
              <a:t>80</a:t>
            </a:fld>
            <a:endParaRPr lang="ko-KR" altLang="en-US" sz="600"/>
          </a:p>
        </xdr:txBody>
      </xdr:sp>
      <xdr:sp macro="" textlink="I10">
        <xdr:nvSpPr>
          <xdr:cNvPr id="17" name="직사각형 16">
            <a:extLst>
              <a:ext uri="{FF2B5EF4-FFF2-40B4-BE49-F238E27FC236}">
                <a16:creationId xmlns:a16="http://schemas.microsoft.com/office/drawing/2014/main" id="{3F6B3B29-8C82-4F93-B81D-4694564473A1}"/>
              </a:ext>
            </a:extLst>
          </xdr:cNvPr>
          <xdr:cNvSpPr/>
        </xdr:nvSpPr>
        <xdr:spPr>
          <a:xfrm>
            <a:off x="10165505" y="1888131"/>
            <a:ext cx="265140" cy="182660"/>
          </a:xfrm>
          <a:prstGeom prst="rect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rtlCol="0" anchor="ctr"/>
          <a:lstStyle/>
          <a:p>
            <a:pPr algn="ctr"/>
            <a:fld id="{CEC851DB-B18F-43E0-8E0E-5560CC98241C}" type="TxLink">
              <a:rPr lang="en-US" altLang="en-US" sz="1100" b="0" i="0" u="none" strike="noStrike">
                <a:solidFill>
                  <a:srgbClr val="000000"/>
                </a:solidFill>
                <a:latin typeface="맑은 고딕"/>
                <a:ea typeface="맑은 고딕"/>
              </a:rPr>
              <a:pPr algn="ctr"/>
              <a:t>6</a:t>
            </a:fld>
            <a:endParaRPr lang="ko-KR" altLang="en-US" sz="800"/>
          </a:p>
        </xdr:txBody>
      </xdr:sp>
      <xdr:sp macro="" textlink="AA7">
        <xdr:nvSpPr>
          <xdr:cNvPr id="24" name="직사각형 25">
            <a:extLst>
              <a:ext uri="{FF2B5EF4-FFF2-40B4-BE49-F238E27FC236}">
                <a16:creationId xmlns:a16="http://schemas.microsoft.com/office/drawing/2014/main" id="{31A66F76-B0D1-4377-AFC2-083FA44C0C40}"/>
              </a:ext>
            </a:extLst>
          </xdr:cNvPr>
          <xdr:cNvSpPr/>
        </xdr:nvSpPr>
        <xdr:spPr>
          <a:xfrm>
            <a:off x="10813197" y="763337"/>
            <a:ext cx="269395" cy="222085"/>
          </a:xfrm>
          <a:prstGeom prst="rect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rtlCol="0" anchor="ctr"/>
          <a:lstStyle/>
          <a:p>
            <a:pPr algn="ctr"/>
            <a:r>
              <a:rPr lang="en-US" altLang="en-US" sz="1100" b="0" i="0" u="none" strike="noStrike">
                <a:solidFill>
                  <a:srgbClr val="000000"/>
                </a:solidFill>
                <a:latin typeface="맑은 고딕"/>
                <a:ea typeface="맑은 고딕"/>
              </a:rPr>
              <a:t>2500</a:t>
            </a:r>
            <a:endParaRPr lang="en-US" altLang="en-US" sz="1100"/>
          </a:p>
        </xdr:txBody>
      </xdr:sp>
    </xdr:grpSp>
    <xdr:clientData/>
  </xdr:twoCellAnchor>
  <xdr:twoCellAnchor editAs="oneCell">
    <xdr:from>
      <xdr:col>21</xdr:col>
      <xdr:colOff>255833</xdr:colOff>
      <xdr:row>85</xdr:row>
      <xdr:rowOff>93234</xdr:rowOff>
    </xdr:from>
    <xdr:to>
      <xdr:col>31</xdr:col>
      <xdr:colOff>116442</xdr:colOff>
      <xdr:row>93</xdr:row>
      <xdr:rowOff>151616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723C7294-5EE2-4641-8198-01C6367BAA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374245" y="19703528"/>
          <a:ext cx="2774138" cy="1851323"/>
        </a:xfrm>
        <a:prstGeom prst="rect">
          <a:avLst/>
        </a:prstGeom>
      </xdr:spPr>
    </xdr:pic>
    <xdr:clientData/>
  </xdr:twoCellAnchor>
  <xdr:oneCellAnchor>
    <xdr:from>
      <xdr:col>69</xdr:col>
      <xdr:colOff>28462</xdr:colOff>
      <xdr:row>18</xdr:row>
      <xdr:rowOff>161027</xdr:rowOff>
    </xdr:from>
    <xdr:ext cx="985013" cy="3444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6" name="TextBox 25">
              <a:extLst>
                <a:ext uri="{FF2B5EF4-FFF2-40B4-BE49-F238E27FC236}">
                  <a16:creationId xmlns:a16="http://schemas.microsoft.com/office/drawing/2014/main" id="{DD656D51-4214-4A80-9383-8EB443376D88}"/>
                </a:ext>
              </a:extLst>
            </xdr:cNvPr>
            <xdr:cNvSpPr txBox="1"/>
          </xdr:nvSpPr>
          <xdr:spPr>
            <a:xfrm>
              <a:off x="19743307" y="7363832"/>
              <a:ext cx="985013" cy="344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1.10</m:t>
                    </m:r>
                    <m:rad>
                      <m:radPr>
                        <m:degHide m:val="on"/>
                        <m:ctrlPr>
                          <a:rPr lang="en-US" altLang="ko-KR" sz="1100" b="0" i="1"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sSub>
                          <m:sSubPr>
                            <m:ctrlP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𝑘</m:t>
                            </m:r>
                          </m:e>
                          <m:sub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𝑣</m:t>
                            </m:r>
                          </m:sub>
                        </m:sSub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𝐸</m:t>
                        </m:r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/</m:t>
                        </m:r>
                        <m:sSub>
                          <m:sSubPr>
                            <m:ctrlP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𝐹</m:t>
                            </m:r>
                          </m:e>
                          <m:sub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𝑦</m:t>
                            </m:r>
                          </m:sub>
                        </m:sSub>
                      </m:e>
                    </m:rad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26" name="TextBox 25">
              <a:extLst>
                <a:ext uri="{FF2B5EF4-FFF2-40B4-BE49-F238E27FC236}">
                  <a16:creationId xmlns:a16="http://schemas.microsoft.com/office/drawing/2014/main" id="{DD656D51-4214-4A80-9383-8EB443376D88}"/>
                </a:ext>
              </a:extLst>
            </xdr:cNvPr>
            <xdr:cNvSpPr txBox="1"/>
          </xdr:nvSpPr>
          <xdr:spPr>
            <a:xfrm>
              <a:off x="19743307" y="7363832"/>
              <a:ext cx="985013" cy="344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altLang="ko-KR" sz="1100" b="0" i="0">
                  <a:latin typeface="Cambria Math" panose="02040503050406030204" pitchFamily="18" charset="0"/>
                </a:rPr>
                <a:t>1.10√(𝑘_𝑣 𝐸/𝐹_𝑦 )=</a:t>
              </a:r>
              <a:endParaRPr lang="ko-KR" altLang="en-US" sz="1100"/>
            </a:p>
          </xdr:txBody>
        </xdr:sp>
      </mc:Fallback>
    </mc:AlternateContent>
    <xdr:clientData/>
  </xdr:oneCellAnchor>
  <xdr:oneCellAnchor>
    <xdr:from>
      <xdr:col>77</xdr:col>
      <xdr:colOff>18937</xdr:colOff>
      <xdr:row>18</xdr:row>
      <xdr:rowOff>168647</xdr:rowOff>
    </xdr:from>
    <xdr:ext cx="985013" cy="3444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7" name="TextBox 26">
              <a:extLst>
                <a:ext uri="{FF2B5EF4-FFF2-40B4-BE49-F238E27FC236}">
                  <a16:creationId xmlns:a16="http://schemas.microsoft.com/office/drawing/2014/main" id="{07324ACD-6940-458B-96D3-8BF317A17EA5}"/>
                </a:ext>
              </a:extLst>
            </xdr:cNvPr>
            <xdr:cNvSpPr txBox="1"/>
          </xdr:nvSpPr>
          <xdr:spPr>
            <a:xfrm>
              <a:off x="22025497" y="7373357"/>
              <a:ext cx="985013" cy="344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1.37</m:t>
                    </m:r>
                    <m:rad>
                      <m:radPr>
                        <m:degHide m:val="on"/>
                        <m:ctrlPr>
                          <a:rPr lang="en-US" altLang="ko-KR" sz="1100" b="0" i="1"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sSub>
                          <m:sSubPr>
                            <m:ctrlP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𝑘</m:t>
                            </m:r>
                          </m:e>
                          <m:sub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𝑣</m:t>
                            </m:r>
                          </m:sub>
                        </m:sSub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𝐸</m:t>
                        </m:r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/</m:t>
                        </m:r>
                        <m:sSub>
                          <m:sSubPr>
                            <m:ctrlP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𝐹</m:t>
                            </m:r>
                          </m:e>
                          <m:sub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𝑦</m:t>
                            </m:r>
                          </m:sub>
                        </m:sSub>
                      </m:e>
                    </m:rad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27" name="TextBox 26">
              <a:extLst>
                <a:ext uri="{FF2B5EF4-FFF2-40B4-BE49-F238E27FC236}">
                  <a16:creationId xmlns:a16="http://schemas.microsoft.com/office/drawing/2014/main" id="{07324ACD-6940-458B-96D3-8BF317A17EA5}"/>
                </a:ext>
              </a:extLst>
            </xdr:cNvPr>
            <xdr:cNvSpPr txBox="1"/>
          </xdr:nvSpPr>
          <xdr:spPr>
            <a:xfrm>
              <a:off x="22025497" y="7373357"/>
              <a:ext cx="985013" cy="344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altLang="ko-KR" sz="1100" b="0" i="0">
                  <a:latin typeface="Cambria Math" panose="02040503050406030204" pitchFamily="18" charset="0"/>
                </a:rPr>
                <a:t>1.37√(𝑘_𝑣 𝐸/𝐹_𝑦 )=</a:t>
              </a:r>
              <a:endParaRPr lang="ko-KR" altLang="en-US" sz="1100"/>
            </a:p>
          </xdr:txBody>
        </xdr:sp>
      </mc:Fallback>
    </mc:AlternateContent>
    <xdr:clientData/>
  </xdr:oneCellAnchor>
  <xdr:oneCellAnchor>
    <xdr:from>
      <xdr:col>69</xdr:col>
      <xdr:colOff>28462</xdr:colOff>
      <xdr:row>35</xdr:row>
      <xdr:rowOff>161027</xdr:rowOff>
    </xdr:from>
    <xdr:ext cx="985013" cy="3444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8" name="TextBox 27">
              <a:extLst>
                <a:ext uri="{FF2B5EF4-FFF2-40B4-BE49-F238E27FC236}">
                  <a16:creationId xmlns:a16="http://schemas.microsoft.com/office/drawing/2014/main" id="{FE7A0224-284B-4CA4-9DF7-C369D10833AD}"/>
                </a:ext>
              </a:extLst>
            </xdr:cNvPr>
            <xdr:cNvSpPr txBox="1"/>
          </xdr:nvSpPr>
          <xdr:spPr>
            <a:xfrm>
              <a:off x="19743307" y="9097382"/>
              <a:ext cx="985013" cy="344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1.10</m:t>
                    </m:r>
                    <m:rad>
                      <m:radPr>
                        <m:degHide m:val="on"/>
                        <m:ctrlPr>
                          <a:rPr lang="en-US" altLang="ko-KR" sz="1100" b="0" i="1"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sSub>
                          <m:sSubPr>
                            <m:ctrlP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𝑘</m:t>
                            </m:r>
                          </m:e>
                          <m:sub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𝑣</m:t>
                            </m:r>
                          </m:sub>
                        </m:sSub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𝐸</m:t>
                        </m:r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/</m:t>
                        </m:r>
                        <m:sSub>
                          <m:sSubPr>
                            <m:ctrlP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𝐹</m:t>
                            </m:r>
                          </m:e>
                          <m:sub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𝑦</m:t>
                            </m:r>
                          </m:sub>
                        </m:sSub>
                      </m:e>
                    </m:rad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28" name="TextBox 27">
              <a:extLst>
                <a:ext uri="{FF2B5EF4-FFF2-40B4-BE49-F238E27FC236}">
                  <a16:creationId xmlns:a16="http://schemas.microsoft.com/office/drawing/2014/main" id="{FE7A0224-284B-4CA4-9DF7-C369D10833AD}"/>
                </a:ext>
              </a:extLst>
            </xdr:cNvPr>
            <xdr:cNvSpPr txBox="1"/>
          </xdr:nvSpPr>
          <xdr:spPr>
            <a:xfrm>
              <a:off x="19743307" y="9097382"/>
              <a:ext cx="985013" cy="344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altLang="ko-KR" sz="1100" b="0" i="0">
                  <a:latin typeface="Cambria Math" panose="02040503050406030204" pitchFamily="18" charset="0"/>
                </a:rPr>
                <a:t>1.10√(𝑘_𝑣 𝐸/𝐹_𝑦 )=</a:t>
              </a:r>
              <a:endParaRPr lang="ko-KR" altLang="en-US" sz="1100"/>
            </a:p>
          </xdr:txBody>
        </xdr:sp>
      </mc:Fallback>
    </mc:AlternateContent>
    <xdr:clientData/>
  </xdr:oneCellAnchor>
  <xdr:oneCellAnchor>
    <xdr:from>
      <xdr:col>77</xdr:col>
      <xdr:colOff>18937</xdr:colOff>
      <xdr:row>35</xdr:row>
      <xdr:rowOff>168647</xdr:rowOff>
    </xdr:from>
    <xdr:ext cx="985013" cy="3444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9" name="TextBox 28">
              <a:extLst>
                <a:ext uri="{FF2B5EF4-FFF2-40B4-BE49-F238E27FC236}">
                  <a16:creationId xmlns:a16="http://schemas.microsoft.com/office/drawing/2014/main" id="{F7767297-3F5C-46DC-8CA0-207250F28A35}"/>
                </a:ext>
              </a:extLst>
            </xdr:cNvPr>
            <xdr:cNvSpPr txBox="1"/>
          </xdr:nvSpPr>
          <xdr:spPr>
            <a:xfrm>
              <a:off x="22025497" y="9106907"/>
              <a:ext cx="985013" cy="344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1.37</m:t>
                    </m:r>
                    <m:rad>
                      <m:radPr>
                        <m:degHide m:val="on"/>
                        <m:ctrlPr>
                          <a:rPr lang="en-US" altLang="ko-KR" sz="1100" b="0" i="1"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sSub>
                          <m:sSubPr>
                            <m:ctrlP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𝑘</m:t>
                            </m:r>
                          </m:e>
                          <m:sub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𝑣</m:t>
                            </m:r>
                          </m:sub>
                        </m:sSub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𝐸</m:t>
                        </m:r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/</m:t>
                        </m:r>
                        <m:sSub>
                          <m:sSubPr>
                            <m:ctrlP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𝐹</m:t>
                            </m:r>
                          </m:e>
                          <m:sub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𝑦</m:t>
                            </m:r>
                          </m:sub>
                        </m:sSub>
                      </m:e>
                    </m:rad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29" name="TextBox 28">
              <a:extLst>
                <a:ext uri="{FF2B5EF4-FFF2-40B4-BE49-F238E27FC236}">
                  <a16:creationId xmlns:a16="http://schemas.microsoft.com/office/drawing/2014/main" id="{F7767297-3F5C-46DC-8CA0-207250F28A35}"/>
                </a:ext>
              </a:extLst>
            </xdr:cNvPr>
            <xdr:cNvSpPr txBox="1"/>
          </xdr:nvSpPr>
          <xdr:spPr>
            <a:xfrm>
              <a:off x="22025497" y="9106907"/>
              <a:ext cx="985013" cy="344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altLang="ko-KR" sz="1100" b="0" i="0">
                  <a:latin typeface="Cambria Math" panose="02040503050406030204" pitchFamily="18" charset="0"/>
                </a:rPr>
                <a:t>1.37√(𝑘_𝑣 𝐸/𝐹_𝑦 )=</a:t>
              </a:r>
              <a:endParaRPr lang="ko-KR" altLang="en-US" sz="1100"/>
            </a:p>
          </xdr:txBody>
        </xdr:sp>
      </mc:Fallback>
    </mc:AlternateContent>
    <xdr:clientData/>
  </xdr:oneCellAnchor>
  <xdr:oneCellAnchor>
    <xdr:from>
      <xdr:col>40</xdr:col>
      <xdr:colOff>28462</xdr:colOff>
      <xdr:row>38</xdr:row>
      <xdr:rowOff>161027</xdr:rowOff>
    </xdr:from>
    <xdr:ext cx="985013" cy="3444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0" name="TextBox 29">
              <a:extLst>
                <a:ext uri="{FF2B5EF4-FFF2-40B4-BE49-F238E27FC236}">
                  <a16:creationId xmlns:a16="http://schemas.microsoft.com/office/drawing/2014/main" id="{25C45CAF-D193-4AAF-985F-C427E0498576}"/>
                </a:ext>
              </a:extLst>
            </xdr:cNvPr>
            <xdr:cNvSpPr txBox="1"/>
          </xdr:nvSpPr>
          <xdr:spPr>
            <a:xfrm>
              <a:off x="11456557" y="13135982"/>
              <a:ext cx="985013" cy="344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1.10</m:t>
                    </m:r>
                    <m:rad>
                      <m:radPr>
                        <m:degHide m:val="on"/>
                        <m:ctrlPr>
                          <a:rPr lang="en-US" altLang="ko-KR" sz="1100" b="0" i="1"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sSub>
                          <m:sSubPr>
                            <m:ctrlP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𝑘</m:t>
                            </m:r>
                          </m:e>
                          <m:sub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𝑣</m:t>
                            </m:r>
                          </m:sub>
                        </m:sSub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𝐸</m:t>
                        </m:r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/</m:t>
                        </m:r>
                        <m:sSub>
                          <m:sSubPr>
                            <m:ctrlP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𝐹</m:t>
                            </m:r>
                          </m:e>
                          <m:sub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𝑦</m:t>
                            </m:r>
                          </m:sub>
                        </m:sSub>
                      </m:e>
                    </m:rad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30" name="TextBox 29">
              <a:extLst>
                <a:ext uri="{FF2B5EF4-FFF2-40B4-BE49-F238E27FC236}">
                  <a16:creationId xmlns:a16="http://schemas.microsoft.com/office/drawing/2014/main" id="{25C45CAF-D193-4AAF-985F-C427E0498576}"/>
                </a:ext>
              </a:extLst>
            </xdr:cNvPr>
            <xdr:cNvSpPr txBox="1"/>
          </xdr:nvSpPr>
          <xdr:spPr>
            <a:xfrm>
              <a:off x="11456557" y="13135982"/>
              <a:ext cx="985013" cy="344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altLang="ko-KR" sz="1100" b="0" i="0">
                  <a:latin typeface="Cambria Math" panose="02040503050406030204" pitchFamily="18" charset="0"/>
                </a:rPr>
                <a:t>1.10√(𝑘_𝑣 𝐸/𝐹_𝑦 )=</a:t>
              </a:r>
              <a:endParaRPr lang="ko-KR" altLang="en-US" sz="1100"/>
            </a:p>
          </xdr:txBody>
        </xdr:sp>
      </mc:Fallback>
    </mc:AlternateContent>
    <xdr:clientData/>
  </xdr:oneCellAnchor>
  <xdr:oneCellAnchor>
    <xdr:from>
      <xdr:col>48</xdr:col>
      <xdr:colOff>18937</xdr:colOff>
      <xdr:row>38</xdr:row>
      <xdr:rowOff>168647</xdr:rowOff>
    </xdr:from>
    <xdr:ext cx="985013" cy="3444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1" name="TextBox 30">
              <a:extLst>
                <a:ext uri="{FF2B5EF4-FFF2-40B4-BE49-F238E27FC236}">
                  <a16:creationId xmlns:a16="http://schemas.microsoft.com/office/drawing/2014/main" id="{04B3FE16-122F-4854-A32D-5D98AB100A36}"/>
                </a:ext>
              </a:extLst>
            </xdr:cNvPr>
            <xdr:cNvSpPr txBox="1"/>
          </xdr:nvSpPr>
          <xdr:spPr>
            <a:xfrm>
              <a:off x="13738747" y="13145507"/>
              <a:ext cx="985013" cy="344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1.37</m:t>
                    </m:r>
                    <m:rad>
                      <m:radPr>
                        <m:degHide m:val="on"/>
                        <m:ctrlPr>
                          <a:rPr lang="en-US" altLang="ko-KR" sz="1100" b="0" i="1"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sSub>
                          <m:sSubPr>
                            <m:ctrlP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𝑘</m:t>
                            </m:r>
                          </m:e>
                          <m:sub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𝑣</m:t>
                            </m:r>
                          </m:sub>
                        </m:sSub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𝐸</m:t>
                        </m:r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/</m:t>
                        </m:r>
                        <m:sSub>
                          <m:sSubPr>
                            <m:ctrlP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𝐹</m:t>
                            </m:r>
                          </m:e>
                          <m:sub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𝑦</m:t>
                            </m:r>
                          </m:sub>
                        </m:sSub>
                      </m:e>
                    </m:rad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31" name="TextBox 30">
              <a:extLst>
                <a:ext uri="{FF2B5EF4-FFF2-40B4-BE49-F238E27FC236}">
                  <a16:creationId xmlns:a16="http://schemas.microsoft.com/office/drawing/2014/main" id="{04B3FE16-122F-4854-A32D-5D98AB100A36}"/>
                </a:ext>
              </a:extLst>
            </xdr:cNvPr>
            <xdr:cNvSpPr txBox="1"/>
          </xdr:nvSpPr>
          <xdr:spPr>
            <a:xfrm>
              <a:off x="13738747" y="13145507"/>
              <a:ext cx="985013" cy="344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altLang="ko-KR" sz="1100" b="0" i="0">
                  <a:latin typeface="Cambria Math" panose="02040503050406030204" pitchFamily="18" charset="0"/>
                </a:rPr>
                <a:t>1.37√(𝑘_𝑣 𝐸/𝐹_𝑦 )=</a:t>
              </a:r>
              <a:endParaRPr lang="ko-KR" altLang="en-US" sz="1100"/>
            </a:p>
          </xdr:txBody>
        </xdr:sp>
      </mc:Fallback>
    </mc:AlternateContent>
    <xdr:clientData/>
  </xdr:oneCellAnchor>
  <xdr:oneCellAnchor>
    <xdr:from>
      <xdr:col>69</xdr:col>
      <xdr:colOff>286870</xdr:colOff>
      <xdr:row>6</xdr:row>
      <xdr:rowOff>179293</xdr:rowOff>
    </xdr:from>
    <xdr:ext cx="840486" cy="3444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2" name="TextBox 21">
              <a:extLst>
                <a:ext uri="{FF2B5EF4-FFF2-40B4-BE49-F238E27FC236}">
                  <a16:creationId xmlns:a16="http://schemas.microsoft.com/office/drawing/2014/main" id="{C260DAD3-0693-E386-6DE2-82672D1723B4}"/>
                </a:ext>
              </a:extLst>
            </xdr:cNvPr>
            <xdr:cNvSpPr txBox="1"/>
          </xdr:nvSpPr>
          <xdr:spPr>
            <a:xfrm>
              <a:off x="19847858" y="1622611"/>
              <a:ext cx="840486" cy="344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100" b="0" i="1" kern="1200">
                        <a:latin typeface="Cambria Math" panose="02040503050406030204" pitchFamily="18" charset="0"/>
                      </a:rPr>
                      <m:t>3.76</m:t>
                    </m:r>
                    <m:rad>
                      <m:radPr>
                        <m:degHide m:val="on"/>
                        <m:ctrlPr>
                          <a:rPr lang="en-US" altLang="ko-KR" sz="1100" b="0" i="1" kern="1200"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r>
                          <a:rPr lang="en-US" altLang="ko-KR" sz="1100" b="0" i="1" kern="1200">
                            <a:latin typeface="Cambria Math" panose="02040503050406030204" pitchFamily="18" charset="0"/>
                          </a:rPr>
                          <m:t>𝐸</m:t>
                        </m:r>
                        <m:r>
                          <a:rPr lang="en-US" altLang="ko-KR" sz="1100" b="0" i="1" kern="1200">
                            <a:latin typeface="Cambria Math" panose="02040503050406030204" pitchFamily="18" charset="0"/>
                          </a:rPr>
                          <m:t>/</m:t>
                        </m:r>
                        <m:sSub>
                          <m:sSubPr>
                            <m:ctrlPr>
                              <a:rPr lang="en-US" altLang="ko-KR" sz="1100" b="0" i="1" kern="1200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altLang="ko-KR" sz="1100" b="0" i="1" kern="1200">
                                <a:latin typeface="Cambria Math" panose="02040503050406030204" pitchFamily="18" charset="0"/>
                              </a:rPr>
                              <m:t>𝐹</m:t>
                            </m:r>
                          </m:e>
                          <m:sub>
                            <m:r>
                              <a:rPr lang="en-US" altLang="ko-KR" sz="1100" b="0" i="1" kern="1200">
                                <a:latin typeface="Cambria Math" panose="02040503050406030204" pitchFamily="18" charset="0"/>
                              </a:rPr>
                              <m:t>𝑦</m:t>
                            </m:r>
                          </m:sub>
                        </m:sSub>
                      </m:e>
                    </m:rad>
                    <m:r>
                      <a:rPr lang="en-US" altLang="ko-KR" sz="1100" b="0" i="1" kern="1200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ko-KR" altLang="en-US" sz="1100" kern="1200"/>
            </a:p>
          </xdr:txBody>
        </xdr:sp>
      </mc:Choice>
      <mc:Fallback xmlns="">
        <xdr:sp macro="" textlink="">
          <xdr:nvSpPr>
            <xdr:cNvPr id="22" name="TextBox 21">
              <a:extLst>
                <a:ext uri="{FF2B5EF4-FFF2-40B4-BE49-F238E27FC236}">
                  <a16:creationId xmlns:a16="http://schemas.microsoft.com/office/drawing/2014/main" id="{C260DAD3-0693-E386-6DE2-82672D1723B4}"/>
                </a:ext>
              </a:extLst>
            </xdr:cNvPr>
            <xdr:cNvSpPr txBox="1"/>
          </xdr:nvSpPr>
          <xdr:spPr>
            <a:xfrm>
              <a:off x="19847858" y="1622611"/>
              <a:ext cx="840486" cy="344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altLang="ko-KR" sz="1100" b="0" i="0" kern="1200">
                  <a:latin typeface="Cambria Math" panose="02040503050406030204" pitchFamily="18" charset="0"/>
                </a:rPr>
                <a:t>3.76√(𝐸/𝐹_𝑦 )=</a:t>
              </a:r>
              <a:endParaRPr lang="ko-KR" altLang="en-US" sz="1100" kern="1200"/>
            </a:p>
          </xdr:txBody>
        </xdr:sp>
      </mc:Fallback>
    </mc:AlternateContent>
    <xdr:clientData/>
  </xdr:oneCellAnchor>
  <xdr:twoCellAnchor>
    <xdr:from>
      <xdr:col>9</xdr:col>
      <xdr:colOff>0</xdr:colOff>
      <xdr:row>2</xdr:row>
      <xdr:rowOff>0</xdr:rowOff>
    </xdr:from>
    <xdr:to>
      <xdr:col>11</xdr:col>
      <xdr:colOff>247650</xdr:colOff>
      <xdr:row>3</xdr:row>
      <xdr:rowOff>14007</xdr:rowOff>
    </xdr:to>
    <xdr:sp macro="[0]!check" textlink="">
      <xdr:nvSpPr>
        <xdr:cNvPr id="35" name="직사각형 34">
          <a:extLst>
            <a:ext uri="{FF2B5EF4-FFF2-40B4-BE49-F238E27FC236}">
              <a16:creationId xmlns:a16="http://schemas.microsoft.com/office/drawing/2014/main" id="{EB210AAA-05D5-4CD2-AB00-C208CBA977A9}"/>
            </a:ext>
          </a:extLst>
        </xdr:cNvPr>
        <xdr:cNvSpPr/>
      </xdr:nvSpPr>
      <xdr:spPr>
        <a:xfrm>
          <a:off x="2501153" y="448235"/>
          <a:ext cx="803462" cy="327772"/>
        </a:xfrm>
        <a:prstGeom prst="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검토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5A140-7899-4E37-A1A1-0A8D1E22F24D}">
  <sheetPr codeName="Sheet4">
    <pageSetUpPr autoPageBreaks="0" fitToPage="1"/>
  </sheetPr>
  <dimension ref="B2:CO151"/>
  <sheetViews>
    <sheetView tabSelected="1" zoomScale="70" zoomScaleNormal="70" zoomScaleSheetLayoutView="55" workbookViewId="0">
      <selection activeCell="BZ41" sqref="BZ41"/>
    </sheetView>
  </sheetViews>
  <sheetFormatPr defaultRowHeight="17.399999999999999"/>
  <cols>
    <col min="1" max="88" width="3.69921875" customWidth="1"/>
    <col min="90" max="90" width="12.5" bestFit="1" customWidth="1"/>
    <col min="91" max="91" width="14.19921875" bestFit="1" customWidth="1"/>
    <col min="92" max="92" width="10.59765625" bestFit="1" customWidth="1"/>
  </cols>
  <sheetData>
    <row r="2" spans="2:93">
      <c r="B2" s="23"/>
      <c r="C2" s="17"/>
      <c r="D2" s="17"/>
      <c r="E2" s="17"/>
      <c r="F2" s="24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18"/>
      <c r="AE2" s="23"/>
      <c r="AF2" s="17"/>
      <c r="AG2" s="17"/>
      <c r="AH2" s="17"/>
      <c r="AI2" s="17"/>
      <c r="AJ2" s="17"/>
      <c r="AK2" s="17"/>
      <c r="AL2" s="17"/>
      <c r="AM2" s="17"/>
      <c r="AN2" s="17"/>
      <c r="AO2" s="17"/>
      <c r="AP2" s="17"/>
      <c r="AQ2" s="17"/>
      <c r="AR2" s="17"/>
      <c r="AS2" s="17"/>
      <c r="AT2" s="17"/>
      <c r="AU2" s="17"/>
      <c r="AV2" s="17"/>
      <c r="AW2" s="17"/>
      <c r="AX2" s="17"/>
      <c r="AY2" s="17"/>
      <c r="AZ2" s="17"/>
      <c r="BA2" s="17"/>
      <c r="BB2" s="17"/>
      <c r="BC2" s="17"/>
      <c r="BD2" s="17"/>
      <c r="BE2" s="17"/>
      <c r="BF2" s="17"/>
      <c r="BG2" s="18"/>
      <c r="BH2" s="23"/>
      <c r="BI2" s="17"/>
      <c r="BJ2" s="17"/>
      <c r="BK2" s="17"/>
      <c r="BL2" s="17"/>
      <c r="BM2" s="17"/>
      <c r="BN2" s="17"/>
      <c r="BO2" s="17"/>
      <c r="BP2" s="17"/>
      <c r="BQ2" s="17"/>
      <c r="BR2" s="17"/>
      <c r="BS2" s="17"/>
      <c r="BT2" s="17"/>
      <c r="BU2" s="17"/>
      <c r="BV2" s="17"/>
      <c r="BW2" s="17"/>
      <c r="BX2" s="17"/>
      <c r="BY2" s="17"/>
      <c r="BZ2" s="17"/>
      <c r="CA2" s="17"/>
      <c r="CB2" s="17"/>
      <c r="CC2" s="17"/>
      <c r="CD2" s="17"/>
      <c r="CE2" s="17"/>
      <c r="CF2" s="17"/>
      <c r="CG2" s="17"/>
      <c r="CH2" s="17"/>
      <c r="CI2" s="17"/>
      <c r="CJ2" s="18"/>
    </row>
    <row r="3" spans="2:93" ht="24.6" thickBot="1">
      <c r="B3" s="19"/>
      <c r="C3" s="49" t="s">
        <v>0</v>
      </c>
      <c r="D3" s="49"/>
      <c r="E3" s="49"/>
      <c r="F3" s="49"/>
      <c r="G3" s="49"/>
      <c r="Q3" t="s">
        <v>340</v>
      </c>
      <c r="AD3" s="20"/>
      <c r="AE3" s="19"/>
      <c r="AF3" s="49" t="s">
        <v>1</v>
      </c>
      <c r="AG3" s="49"/>
      <c r="AH3" s="49"/>
      <c r="AI3" s="49"/>
      <c r="AJ3" s="49"/>
      <c r="BG3" s="20"/>
      <c r="BH3" s="19"/>
      <c r="BI3" s="49" t="s">
        <v>1</v>
      </c>
      <c r="BJ3" s="49"/>
      <c r="BK3" s="49"/>
      <c r="BL3" s="49"/>
      <c r="BM3" s="49"/>
      <c r="CJ3" s="20"/>
    </row>
    <row r="4" spans="2:93" ht="18" thickTop="1">
      <c r="B4" s="19"/>
      <c r="AD4" s="20"/>
      <c r="AE4" s="19"/>
      <c r="BG4" s="20"/>
      <c r="BH4" s="19"/>
      <c r="CJ4" s="20"/>
    </row>
    <row r="5" spans="2:93">
      <c r="B5" s="19"/>
      <c r="C5" s="8" t="s">
        <v>2</v>
      </c>
      <c r="D5" s="21" t="s">
        <v>3</v>
      </c>
      <c r="AD5" s="20"/>
      <c r="AE5" s="19"/>
      <c r="AF5" s="8" t="s">
        <v>2</v>
      </c>
      <c r="AG5" s="6" t="s">
        <v>4</v>
      </c>
      <c r="BG5" s="20"/>
      <c r="BH5" s="19"/>
      <c r="BI5" s="8" t="s">
        <v>5</v>
      </c>
      <c r="BJ5" s="6" t="s">
        <v>6</v>
      </c>
      <c r="CJ5" s="20"/>
    </row>
    <row r="6" spans="2:93">
      <c r="B6" s="19"/>
      <c r="D6" s="26" t="s">
        <v>7</v>
      </c>
      <c r="E6" s="6" t="s">
        <v>8</v>
      </c>
      <c r="M6" s="26" t="s">
        <v>9</v>
      </c>
      <c r="N6" s="22" t="s">
        <v>10</v>
      </c>
      <c r="Q6" s="48" t="s">
        <v>258</v>
      </c>
      <c r="R6" s="48"/>
      <c r="S6" s="48"/>
      <c r="T6" s="48"/>
      <c r="V6" s="26" t="s">
        <v>12</v>
      </c>
      <c r="W6" s="22" t="s">
        <v>13</v>
      </c>
      <c r="AD6" s="20"/>
      <c r="AE6" s="19"/>
      <c r="AG6" s="6" t="s">
        <v>14</v>
      </c>
      <c r="AH6" s="6" t="s">
        <v>15</v>
      </c>
      <c r="BG6" s="20"/>
      <c r="BH6" s="19"/>
      <c r="BJ6" s="6" t="s">
        <v>16</v>
      </c>
      <c r="BK6" s="6" t="s">
        <v>17</v>
      </c>
      <c r="CJ6" s="20"/>
      <c r="CL6" t="s">
        <v>336</v>
      </c>
      <c r="CM6" t="s">
        <v>337</v>
      </c>
      <c r="CN6" t="s">
        <v>339</v>
      </c>
    </row>
    <row r="7" spans="2:93">
      <c r="B7" s="19"/>
      <c r="E7" s="4"/>
      <c r="F7" t="s">
        <v>18</v>
      </c>
      <c r="G7" s="2" t="s">
        <v>19</v>
      </c>
      <c r="I7" s="55">
        <v>400</v>
      </c>
      <c r="J7" s="56"/>
      <c r="K7" s="2" t="s">
        <v>20</v>
      </c>
      <c r="M7" s="6"/>
      <c r="N7" s="4"/>
      <c r="O7" t="s">
        <v>21</v>
      </c>
      <c r="P7" s="2" t="s">
        <v>19</v>
      </c>
      <c r="R7" s="55">
        <v>600</v>
      </c>
      <c r="S7" s="56"/>
      <c r="T7" s="2" t="s">
        <v>20</v>
      </c>
      <c r="V7" s="6"/>
      <c r="W7" s="4"/>
      <c r="X7" t="s">
        <v>22</v>
      </c>
      <c r="Y7" s="2" t="s">
        <v>19</v>
      </c>
      <c r="AA7" s="55">
        <v>150</v>
      </c>
      <c r="AB7" s="56"/>
      <c r="AC7" s="2" t="s">
        <v>20</v>
      </c>
      <c r="AD7" s="20"/>
      <c r="AE7" s="19"/>
      <c r="AG7" s="31" t="s">
        <v>23</v>
      </c>
      <c r="AH7" s="13" t="s">
        <v>24</v>
      </c>
      <c r="BG7" s="20"/>
      <c r="BH7" s="19"/>
      <c r="BJ7" s="31" t="s">
        <v>23</v>
      </c>
      <c r="BK7" s="13" t="s">
        <v>25</v>
      </c>
      <c r="CJ7" s="20"/>
      <c r="CL7" s="37">
        <f>G35</f>
        <v>7188</v>
      </c>
      <c r="CM7" s="37">
        <v>7188</v>
      </c>
      <c r="CN7">
        <f>CL7-CM7</f>
        <v>0</v>
      </c>
      <c r="CO7" t="s">
        <v>331</v>
      </c>
    </row>
    <row r="8" spans="2:93">
      <c r="B8" s="19"/>
      <c r="E8" s="4"/>
      <c r="F8" t="s">
        <v>26</v>
      </c>
      <c r="G8" s="2" t="s">
        <v>19</v>
      </c>
      <c r="I8" s="55">
        <v>250</v>
      </c>
      <c r="J8" s="56"/>
      <c r="K8" s="2" t="s">
        <v>20</v>
      </c>
      <c r="M8" s="6"/>
      <c r="N8" s="4"/>
      <c r="O8" t="s">
        <v>27</v>
      </c>
      <c r="P8" s="2" t="s">
        <v>19</v>
      </c>
      <c r="R8" s="55">
        <v>200</v>
      </c>
      <c r="S8" s="56"/>
      <c r="T8" s="2" t="s">
        <v>20</v>
      </c>
      <c r="V8" s="26" t="s">
        <v>28</v>
      </c>
      <c r="W8" s="22" t="s">
        <v>29</v>
      </c>
      <c r="Y8" s="2"/>
      <c r="Z8" s="2"/>
      <c r="AB8" s="2"/>
      <c r="AD8" s="20"/>
      <c r="AE8" s="19"/>
      <c r="AH8" s="2" t="s">
        <v>30</v>
      </c>
      <c r="AI8" t="s">
        <v>31</v>
      </c>
      <c r="AO8" t="s">
        <v>32</v>
      </c>
      <c r="AS8" s="65">
        <v>294.93</v>
      </c>
      <c r="AT8" s="65"/>
      <c r="AU8" t="s">
        <v>33</v>
      </c>
      <c r="AW8" s="13" t="s">
        <v>34</v>
      </c>
      <c r="BG8" s="20"/>
      <c r="BH8" s="19"/>
      <c r="BK8" s="2" t="s">
        <v>30</v>
      </c>
      <c r="BL8" t="s">
        <v>35</v>
      </c>
      <c r="BO8" s="69">
        <v>64.67</v>
      </c>
      <c r="BP8" s="70"/>
      <c r="BV8" s="69">
        <v>90.35</v>
      </c>
      <c r="BW8" s="70"/>
      <c r="BY8" s="10" t="s">
        <v>36</v>
      </c>
      <c r="BZ8" t="str">
        <f>IF(BO8&lt;BV8,"소성모멘트","항복모멘트")</f>
        <v>소성모멘트</v>
      </c>
      <c r="CD8" t="s">
        <v>37</v>
      </c>
      <c r="CH8" s="35">
        <v>100</v>
      </c>
      <c r="CI8" t="s">
        <v>38</v>
      </c>
      <c r="CJ8" s="20"/>
      <c r="CL8" s="37">
        <f>AS12</f>
        <v>265.43</v>
      </c>
      <c r="CM8" s="37">
        <v>265.43</v>
      </c>
      <c r="CN8">
        <f t="shared" ref="CN8:CN16" si="0">CL8-CM8</f>
        <v>0</v>
      </c>
      <c r="CO8" t="s">
        <v>333</v>
      </c>
    </row>
    <row r="9" spans="2:93">
      <c r="B9" s="19"/>
      <c r="E9" s="4"/>
      <c r="F9" t="s">
        <v>39</v>
      </c>
      <c r="G9" s="2" t="s">
        <v>19</v>
      </c>
      <c r="I9" s="55">
        <v>80</v>
      </c>
      <c r="J9" s="56"/>
      <c r="K9" s="2" t="s">
        <v>20</v>
      </c>
      <c r="M9" s="6"/>
      <c r="N9" s="4"/>
      <c r="O9" t="s">
        <v>40</v>
      </c>
      <c r="P9" s="2" t="s">
        <v>19</v>
      </c>
      <c r="R9" s="55">
        <v>11</v>
      </c>
      <c r="S9" s="56"/>
      <c r="T9" s="2" t="s">
        <v>20</v>
      </c>
      <c r="V9" s="6"/>
      <c r="W9" s="4"/>
      <c r="X9" t="s">
        <v>41</v>
      </c>
      <c r="Z9" s="7">
        <v>0</v>
      </c>
      <c r="AA9" s="2" t="s">
        <v>42</v>
      </c>
      <c r="AB9" s="11">
        <v>25</v>
      </c>
      <c r="AD9" s="20"/>
      <c r="AE9" s="19"/>
      <c r="AH9" s="2" t="s">
        <v>43</v>
      </c>
      <c r="AI9" t="s">
        <v>44</v>
      </c>
      <c r="AO9" s="10"/>
      <c r="AU9" s="13"/>
      <c r="BG9" s="20"/>
      <c r="BH9" s="19"/>
      <c r="BK9" s="2" t="s">
        <v>43</v>
      </c>
      <c r="BL9" t="s">
        <v>45</v>
      </c>
      <c r="BP9" s="14"/>
      <c r="BQ9" s="14"/>
      <c r="BT9" s="10"/>
      <c r="CJ9" s="20"/>
      <c r="CL9" s="37">
        <f>G42</f>
        <v>13440</v>
      </c>
      <c r="CM9" s="37">
        <v>13440</v>
      </c>
      <c r="CN9">
        <f t="shared" si="0"/>
        <v>0</v>
      </c>
      <c r="CO9" t="s">
        <v>332</v>
      </c>
    </row>
    <row r="10" spans="2:93">
      <c r="B10" s="19"/>
      <c r="E10" s="4"/>
      <c r="F10" t="s">
        <v>46</v>
      </c>
      <c r="G10" s="2" t="s">
        <v>19</v>
      </c>
      <c r="I10" s="57">
        <v>6</v>
      </c>
      <c r="J10" s="58"/>
      <c r="K10" s="2" t="s">
        <v>20</v>
      </c>
      <c r="M10" s="6"/>
      <c r="N10" s="4"/>
      <c r="O10" t="s">
        <v>47</v>
      </c>
      <c r="P10" s="2" t="s">
        <v>19</v>
      </c>
      <c r="R10" s="57">
        <v>17</v>
      </c>
      <c r="S10" s="58"/>
      <c r="T10" s="2" t="s">
        <v>20</v>
      </c>
      <c r="V10" s="6"/>
      <c r="W10" s="4"/>
      <c r="X10" t="s">
        <v>48</v>
      </c>
      <c r="Z10" s="7">
        <v>0</v>
      </c>
      <c r="AA10" s="2" t="s">
        <v>42</v>
      </c>
      <c r="AB10" s="11">
        <v>25</v>
      </c>
      <c r="AD10" s="20"/>
      <c r="AE10" s="19"/>
      <c r="AH10" s="4"/>
      <c r="AI10" s="4"/>
      <c r="AJ10" s="2" t="s">
        <v>49</v>
      </c>
      <c r="AK10" t="s">
        <v>50</v>
      </c>
      <c r="AN10" s="9" t="s">
        <v>51</v>
      </c>
      <c r="AO10" s="65">
        <v>14.33</v>
      </c>
      <c r="AP10" s="65"/>
      <c r="AR10" s="9" t="s">
        <v>52</v>
      </c>
      <c r="AS10" s="65">
        <v>12.98</v>
      </c>
      <c r="AT10" s="65"/>
      <c r="AV10" s="9" t="s">
        <v>53</v>
      </c>
      <c r="AW10" s="65">
        <v>21.87</v>
      </c>
      <c r="AX10" s="65"/>
      <c r="AZ10" s="10" t="s">
        <v>36</v>
      </c>
      <c r="BA10" t="s">
        <v>330</v>
      </c>
      <c r="BG10" s="20"/>
      <c r="BH10" s="19"/>
      <c r="BJ10" s="15"/>
      <c r="BL10" s="48" t="s">
        <v>55</v>
      </c>
      <c r="BM10" s="48"/>
      <c r="BN10" s="65">
        <v>500</v>
      </c>
      <c r="BO10" s="65"/>
      <c r="BP10" t="s">
        <v>33</v>
      </c>
      <c r="BT10" s="64" t="s">
        <v>56</v>
      </c>
      <c r="BU10" s="64"/>
      <c r="BV10" s="61">
        <v>787.29</v>
      </c>
      <c r="BW10" s="62"/>
      <c r="BX10" s="13" t="s">
        <v>33</v>
      </c>
      <c r="CA10" s="66" t="s">
        <v>57</v>
      </c>
      <c r="CB10" s="67"/>
      <c r="CC10" s="68"/>
      <c r="CD10" s="83">
        <f>BN10/BV10</f>
        <v>0.6350899922519021</v>
      </c>
      <c r="CE10" s="83"/>
      <c r="CF10" s="16" t="s">
        <v>36</v>
      </c>
      <c r="CG10" s="47" t="str">
        <f>IF(CD10&gt;=1,"NG","OK")</f>
        <v>OK</v>
      </c>
      <c r="CH10" s="47"/>
      <c r="CJ10" s="20"/>
      <c r="CL10" s="40">
        <f>G43</f>
        <v>744186438</v>
      </c>
      <c r="CM10" s="37">
        <v>744186438</v>
      </c>
      <c r="CN10">
        <f t="shared" si="0"/>
        <v>0</v>
      </c>
      <c r="CO10" t="s">
        <v>341</v>
      </c>
    </row>
    <row r="11" spans="2:93">
      <c r="B11" s="19"/>
      <c r="F11" t="s">
        <v>58</v>
      </c>
      <c r="G11" s="2" t="s">
        <v>19</v>
      </c>
      <c r="I11" s="59">
        <v>56.43</v>
      </c>
      <c r="J11" s="60"/>
      <c r="K11" t="s">
        <v>59</v>
      </c>
      <c r="O11" t="s">
        <v>60</v>
      </c>
      <c r="P11" s="2" t="s">
        <v>19</v>
      </c>
      <c r="R11" s="63">
        <v>1700</v>
      </c>
      <c r="S11" s="63"/>
      <c r="T11" s="2" t="s">
        <v>20</v>
      </c>
      <c r="V11" s="26" t="s">
        <v>61</v>
      </c>
      <c r="W11" s="22" t="s">
        <v>62</v>
      </c>
      <c r="AD11" s="20"/>
      <c r="AE11" s="19"/>
      <c r="AH11" s="2" t="s">
        <v>63</v>
      </c>
      <c r="AI11" t="s">
        <v>45</v>
      </c>
      <c r="AM11" s="14"/>
      <c r="AN11" s="14"/>
      <c r="AQ11" s="10"/>
      <c r="BG11" s="20"/>
      <c r="BH11" s="19"/>
      <c r="BJ11" s="31" t="s">
        <v>64</v>
      </c>
      <c r="BK11" s="13" t="s">
        <v>65</v>
      </c>
      <c r="CJ11" s="20"/>
      <c r="CL11" s="40">
        <f>G44</f>
        <v>2480621.46</v>
      </c>
      <c r="CM11" s="37">
        <v>2480621.46</v>
      </c>
      <c r="CN11">
        <f t="shared" si="0"/>
        <v>0</v>
      </c>
      <c r="CO11" t="s">
        <v>345</v>
      </c>
    </row>
    <row r="12" spans="2:93">
      <c r="B12" s="19"/>
      <c r="O12" t="s">
        <v>58</v>
      </c>
      <c r="P12" s="2" t="s">
        <v>19</v>
      </c>
      <c r="R12" s="59">
        <v>105.5</v>
      </c>
      <c r="S12" s="60"/>
      <c r="T12" t="s">
        <v>59</v>
      </c>
      <c r="W12" s="4"/>
      <c r="X12" t="s">
        <v>66</v>
      </c>
      <c r="Y12" s="2" t="s">
        <v>19</v>
      </c>
      <c r="AA12" s="55">
        <v>200</v>
      </c>
      <c r="AB12" s="56"/>
      <c r="AC12" s="2" t="s">
        <v>20</v>
      </c>
      <c r="AD12" s="20"/>
      <c r="AE12" s="19"/>
      <c r="AI12" s="48" t="s">
        <v>55</v>
      </c>
      <c r="AJ12" s="48"/>
      <c r="AK12" s="65">
        <v>187.41</v>
      </c>
      <c r="AL12" s="65"/>
      <c r="AM12" t="s">
        <v>33</v>
      </c>
      <c r="AQ12" s="64" t="s">
        <v>56</v>
      </c>
      <c r="AR12" s="64"/>
      <c r="AS12" s="61">
        <v>265.43</v>
      </c>
      <c r="AT12" s="62"/>
      <c r="AU12" s="13" t="s">
        <v>33</v>
      </c>
      <c r="AX12" s="66" t="s">
        <v>57</v>
      </c>
      <c r="AY12" s="67"/>
      <c r="AZ12" s="68"/>
      <c r="BA12" s="83">
        <f>AK12/AS12</f>
        <v>0.70606186188448927</v>
      </c>
      <c r="BB12" s="83"/>
      <c r="BC12" s="16" t="s">
        <v>36</v>
      </c>
      <c r="BD12" s="47" t="str">
        <f>IF(BA12&gt;=1,"NG","OK")</f>
        <v>OK</v>
      </c>
      <c r="BE12" s="47"/>
      <c r="BG12" s="20"/>
      <c r="BH12" s="19"/>
      <c r="BK12" s="2" t="s">
        <v>30</v>
      </c>
      <c r="BL12" t="s">
        <v>67</v>
      </c>
      <c r="BO12" s="10" t="s">
        <v>36</v>
      </c>
      <c r="BP12" t="str">
        <f>IF(AND(BQ13&lt;BU13,BQ14&lt;BU14),"소성모멘트","항복모멘트")</f>
        <v>항복모멘트</v>
      </c>
      <c r="CJ12" s="20"/>
      <c r="CL12" s="37">
        <f>AS35</f>
        <v>770.23</v>
      </c>
      <c r="CM12" s="37">
        <v>770.23</v>
      </c>
      <c r="CN12">
        <f t="shared" si="0"/>
        <v>0</v>
      </c>
      <c r="CO12" t="s">
        <v>334</v>
      </c>
    </row>
    <row r="13" spans="2:93">
      <c r="B13" s="19"/>
      <c r="I13" s="82"/>
      <c r="J13" s="82"/>
      <c r="W13" s="4"/>
      <c r="X13" t="s">
        <v>68</v>
      </c>
      <c r="Y13" s="2" t="s">
        <v>19</v>
      </c>
      <c r="AA13" s="55">
        <v>200</v>
      </c>
      <c r="AB13" s="56"/>
      <c r="AC13" s="2" t="s">
        <v>20</v>
      </c>
      <c r="AD13" s="20"/>
      <c r="AE13" s="19"/>
      <c r="BG13" s="20"/>
      <c r="BH13" s="19"/>
      <c r="BK13" s="2"/>
      <c r="BL13" s="2" t="s">
        <v>49</v>
      </c>
      <c r="BM13" t="s">
        <v>69</v>
      </c>
      <c r="BP13" s="9" t="s">
        <v>51</v>
      </c>
      <c r="BQ13" s="65">
        <v>64.67</v>
      </c>
      <c r="BR13" s="65"/>
      <c r="BT13" s="9" t="s">
        <v>52</v>
      </c>
      <c r="BU13" s="65">
        <v>90.35</v>
      </c>
      <c r="BV13" s="65"/>
      <c r="BX13" s="9" t="s">
        <v>53</v>
      </c>
      <c r="BY13" s="65">
        <v>136.97</v>
      </c>
      <c r="BZ13" s="65"/>
      <c r="CB13" s="10" t="s">
        <v>36</v>
      </c>
      <c r="CC13" t="s">
        <v>54</v>
      </c>
      <c r="CJ13" s="20"/>
      <c r="CL13">
        <f>I18</f>
        <v>205000</v>
      </c>
      <c r="CM13">
        <v>205000</v>
      </c>
      <c r="CN13">
        <f t="shared" si="0"/>
        <v>0</v>
      </c>
      <c r="CO13" t="s">
        <v>342</v>
      </c>
    </row>
    <row r="14" spans="2:93">
      <c r="B14" s="19"/>
      <c r="AD14" s="20"/>
      <c r="AE14" s="19"/>
      <c r="AG14" s="31" t="s">
        <v>64</v>
      </c>
      <c r="AH14" s="13" t="s">
        <v>70</v>
      </c>
      <c r="BG14" s="20"/>
      <c r="BH14" s="19"/>
      <c r="BK14" s="4"/>
      <c r="BL14" s="2" t="s">
        <v>49</v>
      </c>
      <c r="BM14" t="s">
        <v>71</v>
      </c>
      <c r="BP14" s="9" t="s">
        <v>51</v>
      </c>
      <c r="BQ14" s="65">
        <v>41.67</v>
      </c>
      <c r="BR14" s="65"/>
      <c r="BT14" s="9" t="s">
        <v>52</v>
      </c>
      <c r="BU14" s="65">
        <v>26.91</v>
      </c>
      <c r="BV14" s="65"/>
      <c r="BX14" s="9" t="s">
        <v>53</v>
      </c>
      <c r="BY14" s="65">
        <v>33.64</v>
      </c>
      <c r="BZ14" s="65"/>
      <c r="CB14" s="10" t="s">
        <v>36</v>
      </c>
      <c r="CC14" t="s">
        <v>72</v>
      </c>
      <c r="CJ14" s="20"/>
      <c r="CL14">
        <v>355</v>
      </c>
      <c r="CM14">
        <v>345</v>
      </c>
      <c r="CN14">
        <f t="shared" si="0"/>
        <v>10</v>
      </c>
      <c r="CO14" t="s">
        <v>343</v>
      </c>
    </row>
    <row r="15" spans="2:93">
      <c r="B15" s="19"/>
      <c r="C15" s="8" t="s">
        <v>5</v>
      </c>
      <c r="D15" s="21" t="s">
        <v>73</v>
      </c>
      <c r="M15" s="8" t="s">
        <v>74</v>
      </c>
      <c r="N15" s="21" t="s">
        <v>75</v>
      </c>
      <c r="V15" s="8" t="s">
        <v>76</v>
      </c>
      <c r="W15" s="6" t="s">
        <v>77</v>
      </c>
      <c r="AD15" s="20"/>
      <c r="AE15" s="19"/>
      <c r="AH15" s="2" t="s">
        <v>30</v>
      </c>
      <c r="AI15" t="s">
        <v>31</v>
      </c>
      <c r="AO15" t="s">
        <v>32</v>
      </c>
      <c r="AS15" s="65">
        <v>259.38</v>
      </c>
      <c r="AT15" s="65"/>
      <c r="AU15" t="s">
        <v>33</v>
      </c>
      <c r="AW15" s="13" t="s">
        <v>34</v>
      </c>
      <c r="BG15" s="20"/>
      <c r="BH15" s="19"/>
      <c r="BJ15" s="15"/>
      <c r="BK15" s="2" t="s">
        <v>43</v>
      </c>
      <c r="BL15" t="s">
        <v>45</v>
      </c>
      <c r="BP15" s="14"/>
      <c r="BQ15" s="14"/>
      <c r="BT15" s="10"/>
      <c r="CJ15" s="20"/>
      <c r="CL15">
        <f>R11</f>
        <v>1700</v>
      </c>
      <c r="CM15">
        <v>1700</v>
      </c>
      <c r="CN15">
        <f t="shared" si="0"/>
        <v>0</v>
      </c>
      <c r="CO15" t="s">
        <v>344</v>
      </c>
    </row>
    <row r="16" spans="2:93">
      <c r="B16" s="19"/>
      <c r="D16" s="4"/>
      <c r="E16" s="1" t="s">
        <v>78</v>
      </c>
      <c r="G16" s="2" t="s">
        <v>79</v>
      </c>
      <c r="H16" s="2" t="s">
        <v>19</v>
      </c>
      <c r="I16" s="63" t="s">
        <v>80</v>
      </c>
      <c r="J16" s="63"/>
      <c r="K16" s="5"/>
      <c r="N16" s="4"/>
      <c r="O16" t="s">
        <v>81</v>
      </c>
      <c r="S16" s="77" t="s">
        <v>82</v>
      </c>
      <c r="T16" s="63"/>
      <c r="W16" t="s">
        <v>83</v>
      </c>
      <c r="Z16" s="78">
        <v>2.5</v>
      </c>
      <c r="AA16" s="78"/>
      <c r="AB16" s="5" t="s">
        <v>84</v>
      </c>
      <c r="AD16" s="20"/>
      <c r="AE16" s="19"/>
      <c r="AH16" s="2" t="s">
        <v>43</v>
      </c>
      <c r="AI16" t="s">
        <v>44</v>
      </c>
      <c r="AO16" s="10"/>
      <c r="AU16" s="13"/>
      <c r="BG16" s="20"/>
      <c r="BH16" s="19"/>
      <c r="BJ16" s="3"/>
      <c r="BL16" s="48" t="s">
        <v>55</v>
      </c>
      <c r="BM16" s="48"/>
      <c r="BN16" s="65">
        <v>500</v>
      </c>
      <c r="BO16" s="65"/>
      <c r="BP16" t="s">
        <v>33</v>
      </c>
      <c r="BT16" s="64" t="s">
        <v>56</v>
      </c>
      <c r="BU16" s="64"/>
      <c r="BV16" s="61">
        <v>302.20999999999998</v>
      </c>
      <c r="BW16" s="62"/>
      <c r="BX16" s="13" t="s">
        <v>33</v>
      </c>
      <c r="CA16" s="66" t="s">
        <v>57</v>
      </c>
      <c r="CB16" s="67"/>
      <c r="CC16" s="68"/>
      <c r="CD16" s="83">
        <f>BN16/BV16</f>
        <v>1.6544786737698953</v>
      </c>
      <c r="CE16" s="83"/>
      <c r="CF16" s="16" t="s">
        <v>36</v>
      </c>
      <c r="CG16" s="47" t="str">
        <f>IF(CD16&gt;=1,"NG","OK")</f>
        <v>NG</v>
      </c>
      <c r="CH16" s="47"/>
      <c r="CJ16" s="20"/>
      <c r="CL16" s="37">
        <f>AS42</f>
        <v>1366.2</v>
      </c>
      <c r="CM16">
        <v>1366.2</v>
      </c>
      <c r="CN16">
        <f t="shared" si="0"/>
        <v>0</v>
      </c>
      <c r="CO16" t="s">
        <v>335</v>
      </c>
    </row>
    <row r="17" spans="2:91">
      <c r="B17" s="19"/>
      <c r="D17" s="2"/>
      <c r="G17" s="2" t="s">
        <v>85</v>
      </c>
      <c r="H17" s="2" t="s">
        <v>19</v>
      </c>
      <c r="I17" s="63" t="s">
        <v>80</v>
      </c>
      <c r="J17" s="63"/>
      <c r="N17" s="4"/>
      <c r="O17" t="s">
        <v>86</v>
      </c>
      <c r="S17" s="63" t="b">
        <v>0</v>
      </c>
      <c r="T17" s="63"/>
      <c r="W17" t="s">
        <v>87</v>
      </c>
      <c r="Z17" s="79">
        <v>1.5</v>
      </c>
      <c r="AA17" s="79"/>
      <c r="AB17" s="5" t="s">
        <v>84</v>
      </c>
      <c r="AD17" s="20"/>
      <c r="AE17" s="19"/>
      <c r="AJ17" s="2" t="s">
        <v>49</v>
      </c>
      <c r="AK17" t="s">
        <v>71</v>
      </c>
      <c r="AN17" s="9" t="s">
        <v>51</v>
      </c>
      <c r="AO17" s="65">
        <v>41.67</v>
      </c>
      <c r="AP17" s="65"/>
      <c r="AR17" s="9" t="s">
        <v>52</v>
      </c>
      <c r="AS17" s="65">
        <v>26.91</v>
      </c>
      <c r="AT17" s="65"/>
      <c r="AV17" s="9" t="s">
        <v>53</v>
      </c>
      <c r="AW17" s="65">
        <v>33.64</v>
      </c>
      <c r="AX17" s="65"/>
      <c r="AZ17" s="10" t="s">
        <v>36</v>
      </c>
      <c r="BA17" t="s">
        <v>72</v>
      </c>
      <c r="BG17" s="20"/>
      <c r="BH17" s="19"/>
      <c r="BJ17" s="31" t="s">
        <v>88</v>
      </c>
      <c r="BK17" s="13" t="s">
        <v>89</v>
      </c>
      <c r="CJ17" s="20"/>
    </row>
    <row r="18" spans="2:91">
      <c r="B18" s="19"/>
      <c r="D18" s="4"/>
      <c r="E18" s="1"/>
      <c r="G18" s="2" t="s">
        <v>90</v>
      </c>
      <c r="H18" s="2" t="s">
        <v>19</v>
      </c>
      <c r="I18" s="63">
        <v>205000</v>
      </c>
      <c r="J18" s="63"/>
      <c r="K18" s="5" t="s">
        <v>91</v>
      </c>
      <c r="O18" t="s">
        <v>92</v>
      </c>
      <c r="S18" s="63" t="s">
        <v>93</v>
      </c>
      <c r="T18" s="63"/>
      <c r="W18" t="s">
        <v>94</v>
      </c>
      <c r="Z18" s="59">
        <f>VLOOKUP(W20,AH72:AI123,2,FALSE)</f>
        <v>2.5</v>
      </c>
      <c r="AA18" s="60"/>
      <c r="AB18" s="5" t="s">
        <v>84</v>
      </c>
      <c r="AD18" s="20"/>
      <c r="AE18" s="19"/>
      <c r="AG18" s="15"/>
      <c r="AH18" s="2" t="s">
        <v>63</v>
      </c>
      <c r="AI18" t="s">
        <v>45</v>
      </c>
      <c r="AN18" s="14"/>
      <c r="AO18" s="14"/>
      <c r="AR18" s="10"/>
      <c r="BG18" s="20"/>
      <c r="BH18" s="19"/>
      <c r="BK18" s="2" t="s">
        <v>30</v>
      </c>
      <c r="BL18" t="s">
        <v>95</v>
      </c>
      <c r="BS18" t="s">
        <v>96</v>
      </c>
      <c r="BW18" s="61">
        <v>1022.4</v>
      </c>
      <c r="BX18" s="62"/>
      <c r="BY18" t="s">
        <v>97</v>
      </c>
      <c r="CJ18" s="20"/>
    </row>
    <row r="19" spans="2:91">
      <c r="B19" s="19"/>
      <c r="D19" s="4"/>
      <c r="E19" s="1" t="s">
        <v>98</v>
      </c>
      <c r="G19" s="2" t="s">
        <v>99</v>
      </c>
      <c r="H19" s="2" t="s">
        <v>19</v>
      </c>
      <c r="I19" s="63">
        <v>30</v>
      </c>
      <c r="J19" s="63"/>
      <c r="K19" s="5" t="s">
        <v>91</v>
      </c>
      <c r="W19" s="75" t="s">
        <v>93</v>
      </c>
      <c r="X19" s="75"/>
      <c r="Y19" s="75"/>
      <c r="Z19" s="75"/>
      <c r="AA19" s="75"/>
      <c r="AD19" s="20"/>
      <c r="AE19" s="19"/>
      <c r="AI19" s="48" t="s">
        <v>55</v>
      </c>
      <c r="AJ19" s="48"/>
      <c r="AK19" s="65">
        <v>57.5</v>
      </c>
      <c r="AL19" s="65"/>
      <c r="AM19" t="s">
        <v>33</v>
      </c>
      <c r="AQ19" s="64" t="s">
        <v>56</v>
      </c>
      <c r="AR19" s="64"/>
      <c r="AS19" s="61">
        <v>233.44</v>
      </c>
      <c r="AT19" s="62"/>
      <c r="AU19" s="13" t="s">
        <v>33</v>
      </c>
      <c r="AX19" s="66" t="s">
        <v>57</v>
      </c>
      <c r="AY19" s="67"/>
      <c r="AZ19" s="68"/>
      <c r="BA19" s="83">
        <f>AK19/AS19</f>
        <v>0.24631596984235779</v>
      </c>
      <c r="BB19" s="83"/>
      <c r="BC19" s="16" t="s">
        <v>36</v>
      </c>
      <c r="BD19" s="47" t="str">
        <f>IF(BA19&gt;=1,"NG","OK")</f>
        <v>OK</v>
      </c>
      <c r="BE19" s="47"/>
      <c r="BG19" s="20"/>
      <c r="BH19" s="19"/>
      <c r="BK19" s="2" t="s">
        <v>43</v>
      </c>
      <c r="BL19" t="s">
        <v>100</v>
      </c>
      <c r="BS19" s="3" t="s">
        <v>101</v>
      </c>
      <c r="BW19" s="61">
        <v>0.91</v>
      </c>
      <c r="BX19" s="62"/>
      <c r="CJ19" s="20"/>
    </row>
    <row r="20" spans="2:91">
      <c r="B20" s="19"/>
      <c r="E20" s="1" t="s">
        <v>29</v>
      </c>
      <c r="G20" s="2" t="s">
        <v>102</v>
      </c>
      <c r="H20" s="2" t="s">
        <v>19</v>
      </c>
      <c r="I20" s="63">
        <v>600</v>
      </c>
      <c r="J20" s="63"/>
      <c r="K20" s="5" t="s">
        <v>91</v>
      </c>
      <c r="W20" s="50" t="s">
        <v>103</v>
      </c>
      <c r="X20" s="51"/>
      <c r="Y20" s="51"/>
      <c r="Z20" s="51"/>
      <c r="AA20" s="52"/>
      <c r="AD20" s="20"/>
      <c r="AE20" s="19"/>
      <c r="BG20" s="20"/>
      <c r="BH20" s="19"/>
      <c r="BL20" t="s">
        <v>104</v>
      </c>
      <c r="BN20" s="61">
        <v>64.67</v>
      </c>
      <c r="BO20" s="62"/>
      <c r="BP20" s="3"/>
      <c r="BV20" s="61">
        <v>59.11</v>
      </c>
      <c r="BW20" s="62"/>
      <c r="CD20" s="61">
        <v>73.62</v>
      </c>
      <c r="CE20" s="62"/>
      <c r="CJ20" s="20"/>
      <c r="CL20">
        <f>CL11*CL14*0.9</f>
        <v>792558556.47000003</v>
      </c>
      <c r="CM20">
        <f>CM11*CM14*0.9</f>
        <v>770232963.32999992</v>
      </c>
    </row>
    <row r="21" spans="2:91">
      <c r="B21" s="19"/>
      <c r="AD21" s="20"/>
      <c r="AE21" s="19"/>
      <c r="AG21" s="31" t="s">
        <v>88</v>
      </c>
      <c r="AH21" s="13" t="s">
        <v>105</v>
      </c>
      <c r="BG21" s="20"/>
      <c r="BH21" s="19"/>
      <c r="BJ21" s="3"/>
      <c r="BK21" s="2" t="s">
        <v>63</v>
      </c>
      <c r="BL21" t="s">
        <v>45</v>
      </c>
      <c r="CJ21" s="20"/>
    </row>
    <row r="22" spans="2:91">
      <c r="B22" s="19"/>
      <c r="AD22" s="20"/>
      <c r="AE22" s="19"/>
      <c r="AH22" s="2" t="s">
        <v>30</v>
      </c>
      <c r="AI22" t="s">
        <v>95</v>
      </c>
      <c r="AO22" t="s">
        <v>96</v>
      </c>
      <c r="AS22" s="61">
        <v>1022.4</v>
      </c>
      <c r="AT22" s="62"/>
      <c r="AU22" t="s">
        <v>97</v>
      </c>
      <c r="BG22" s="20"/>
      <c r="BH22" s="19"/>
      <c r="BL22" s="48" t="s">
        <v>106</v>
      </c>
      <c r="BM22" s="48"/>
      <c r="BN22" s="65">
        <v>500</v>
      </c>
      <c r="BO22" s="65"/>
      <c r="BP22" t="s">
        <v>97</v>
      </c>
      <c r="BT22" s="64" t="s">
        <v>107</v>
      </c>
      <c r="BU22" s="64"/>
      <c r="BV22" s="69">
        <v>841.05</v>
      </c>
      <c r="BW22" s="70"/>
      <c r="BX22" t="s">
        <v>97</v>
      </c>
      <c r="CA22" s="66" t="s">
        <v>108</v>
      </c>
      <c r="CB22" s="67"/>
      <c r="CC22" s="68"/>
      <c r="CD22" s="46">
        <f>BN22/BV22</f>
        <v>0.59449497651744843</v>
      </c>
      <c r="CE22" s="46"/>
      <c r="CF22" s="16" t="s">
        <v>36</v>
      </c>
      <c r="CG22" s="47" t="str">
        <f>IF(CD22&gt;=1,"NG","OK")</f>
        <v>OK</v>
      </c>
      <c r="CH22" s="47"/>
      <c r="CJ22" s="20"/>
    </row>
    <row r="23" spans="2:91" ht="17.399999999999999" customHeight="1" thickBot="1">
      <c r="B23" s="19"/>
      <c r="C23" s="49" t="s">
        <v>109</v>
      </c>
      <c r="D23" s="49"/>
      <c r="E23" s="49"/>
      <c r="F23" s="49"/>
      <c r="G23" s="49"/>
      <c r="AD23" s="20"/>
      <c r="AE23" s="19"/>
      <c r="AH23" s="2" t="s">
        <v>43</v>
      </c>
      <c r="AI23" t="s">
        <v>100</v>
      </c>
      <c r="AO23" s="3" t="s">
        <v>101</v>
      </c>
      <c r="AS23" s="61">
        <v>0.91</v>
      </c>
      <c r="AT23" s="62"/>
      <c r="BG23" s="20"/>
      <c r="BH23" s="19"/>
      <c r="CJ23" s="20"/>
    </row>
    <row r="24" spans="2:91" ht="18" thickTop="1">
      <c r="B24" s="19"/>
      <c r="AD24" s="20"/>
      <c r="AE24" s="19"/>
      <c r="AI24" t="s">
        <v>104</v>
      </c>
      <c r="AK24" s="61">
        <v>64.67</v>
      </c>
      <c r="AL24" s="62"/>
      <c r="AM24" s="3"/>
      <c r="AS24" s="61">
        <v>59.11</v>
      </c>
      <c r="AT24" s="62"/>
      <c r="BA24" s="61">
        <v>73.62</v>
      </c>
      <c r="BB24" s="62"/>
      <c r="BG24" s="20"/>
      <c r="BH24" s="19"/>
      <c r="BJ24" s="6" t="s">
        <v>110</v>
      </c>
      <c r="BK24" s="6" t="s">
        <v>111</v>
      </c>
      <c r="CJ24" s="20"/>
    </row>
    <row r="25" spans="2:91">
      <c r="B25" s="19"/>
      <c r="C25" s="8" t="s">
        <v>112</v>
      </c>
      <c r="D25" s="6" t="s">
        <v>113</v>
      </c>
      <c r="M25" s="8" t="s">
        <v>114</v>
      </c>
      <c r="N25" s="21" t="s">
        <v>115</v>
      </c>
      <c r="AD25" s="20"/>
      <c r="AE25" s="19"/>
      <c r="AH25" s="2" t="s">
        <v>63</v>
      </c>
      <c r="AI25" t="s">
        <v>45</v>
      </c>
      <c r="BG25" s="20"/>
      <c r="BH25" s="19"/>
      <c r="BJ25" s="31" t="s">
        <v>23</v>
      </c>
      <c r="BK25" s="13" t="s">
        <v>65</v>
      </c>
      <c r="CJ25" s="20"/>
    </row>
    <row r="26" spans="2:91">
      <c r="B26" s="19"/>
      <c r="E26" t="s">
        <v>116</v>
      </c>
      <c r="H26" s="53">
        <v>500</v>
      </c>
      <c r="I26" s="54"/>
      <c r="J26" t="s">
        <v>33</v>
      </c>
      <c r="M26" s="4"/>
      <c r="N26" t="s">
        <v>117</v>
      </c>
      <c r="P26" s="2" t="s">
        <v>118</v>
      </c>
      <c r="Q26" s="2" t="s">
        <v>19</v>
      </c>
      <c r="R26" s="63">
        <v>10000</v>
      </c>
      <c r="S26" s="63"/>
      <c r="T26" s="2" t="s">
        <v>20</v>
      </c>
      <c r="AD26" s="20"/>
      <c r="AE26" s="19"/>
      <c r="AI26" s="48" t="s">
        <v>106</v>
      </c>
      <c r="AJ26" s="48"/>
      <c r="AK26" s="65">
        <v>224.89</v>
      </c>
      <c r="AL26" s="65"/>
      <c r="AM26" t="s">
        <v>97</v>
      </c>
      <c r="AQ26" s="64" t="s">
        <v>107</v>
      </c>
      <c r="AR26" s="64"/>
      <c r="AS26" s="69">
        <v>841.05</v>
      </c>
      <c r="AT26" s="70"/>
      <c r="AU26" t="s">
        <v>97</v>
      </c>
      <c r="AX26" s="66" t="s">
        <v>108</v>
      </c>
      <c r="AY26" s="67"/>
      <c r="AZ26" s="68"/>
      <c r="BA26" s="83">
        <f>AK26/AS26</f>
        <v>0.26739195053801795</v>
      </c>
      <c r="BB26" s="83"/>
      <c r="BC26" s="16" t="s">
        <v>36</v>
      </c>
      <c r="BD26" s="47" t="str">
        <f>IF(BA26&gt;=1,"NG","OK")</f>
        <v>OK</v>
      </c>
      <c r="BE26" s="47"/>
      <c r="BG26" s="20"/>
      <c r="BH26" s="19"/>
      <c r="BK26" s="2" t="s">
        <v>30</v>
      </c>
      <c r="BL26" t="s">
        <v>67</v>
      </c>
      <c r="BO26" s="10" t="s">
        <v>36</v>
      </c>
      <c r="BP26" t="str">
        <f>IF(AND(BQ27&lt;BU27,BQ28&lt;BU28),"소성모멘트","항복모멘트")</f>
        <v>소성모멘트</v>
      </c>
      <c r="CJ26" s="20"/>
    </row>
    <row r="27" spans="2:91">
      <c r="B27" s="19"/>
      <c r="E27" t="s">
        <v>119</v>
      </c>
      <c r="H27" s="53">
        <v>500</v>
      </c>
      <c r="I27" s="54"/>
      <c r="J27" t="s">
        <v>33</v>
      </c>
      <c r="N27" t="s">
        <v>120</v>
      </c>
      <c r="P27" s="2" t="s">
        <v>121</v>
      </c>
      <c r="Q27" s="2" t="s">
        <v>19</v>
      </c>
      <c r="R27" s="63">
        <v>5000</v>
      </c>
      <c r="S27" s="63"/>
      <c r="T27" s="2" t="s">
        <v>20</v>
      </c>
      <c r="AD27" s="20"/>
      <c r="AE27" s="19"/>
      <c r="BG27" s="20"/>
      <c r="BH27" s="19"/>
      <c r="BK27" s="2"/>
      <c r="BL27" s="2" t="s">
        <v>49</v>
      </c>
      <c r="BM27" t="s">
        <v>69</v>
      </c>
      <c r="BP27" s="9" t="s">
        <v>51</v>
      </c>
      <c r="BQ27" s="65">
        <v>51.45</v>
      </c>
      <c r="BR27" s="65"/>
      <c r="BT27" s="9" t="s">
        <v>52</v>
      </c>
      <c r="BU27" s="65">
        <v>91.65</v>
      </c>
      <c r="BV27" s="65"/>
      <c r="BX27" s="9" t="s">
        <v>53</v>
      </c>
      <c r="BY27" s="65">
        <v>138.94</v>
      </c>
      <c r="BZ27" s="65"/>
      <c r="CB27" s="10" t="s">
        <v>36</v>
      </c>
      <c r="CC27" t="s">
        <v>54</v>
      </c>
      <c r="CJ27" s="20"/>
    </row>
    <row r="28" spans="2:91">
      <c r="B28" s="19"/>
      <c r="E28" t="s">
        <v>122</v>
      </c>
      <c r="H28" s="53">
        <v>500</v>
      </c>
      <c r="I28" s="54"/>
      <c r="J28" t="s">
        <v>33</v>
      </c>
      <c r="P28" s="3" t="s">
        <v>123</v>
      </c>
      <c r="Q28" s="2" t="s">
        <v>19</v>
      </c>
      <c r="R28" s="63">
        <v>5000</v>
      </c>
      <c r="S28" s="63"/>
      <c r="T28" s="2" t="s">
        <v>20</v>
      </c>
      <c r="AD28" s="20"/>
      <c r="AE28" s="19"/>
      <c r="BG28" s="20"/>
      <c r="BH28" s="19"/>
      <c r="BK28" s="4"/>
      <c r="BL28" s="2" t="s">
        <v>49</v>
      </c>
      <c r="BM28" t="s">
        <v>71</v>
      </c>
      <c r="BP28" s="9" t="s">
        <v>51</v>
      </c>
      <c r="BQ28" s="65">
        <v>5.88</v>
      </c>
      <c r="BR28" s="65"/>
      <c r="BT28" s="9" t="s">
        <v>52</v>
      </c>
      <c r="BU28" s="65">
        <v>9.26</v>
      </c>
      <c r="BV28" s="65"/>
      <c r="BX28" s="9" t="s">
        <v>53</v>
      </c>
      <c r="BY28" s="65">
        <v>24.38</v>
      </c>
      <c r="BZ28" s="65"/>
      <c r="CB28" s="10" t="s">
        <v>36</v>
      </c>
      <c r="CC28" t="s">
        <v>54</v>
      </c>
      <c r="CJ28" s="20"/>
    </row>
    <row r="29" spans="2:91">
      <c r="B29" s="19"/>
      <c r="E29" t="s">
        <v>124</v>
      </c>
      <c r="H29" s="53">
        <v>500</v>
      </c>
      <c r="I29" s="54"/>
      <c r="J29" t="s">
        <v>97</v>
      </c>
      <c r="AD29" s="20"/>
      <c r="AE29" s="19"/>
      <c r="AG29" s="6" t="s">
        <v>125</v>
      </c>
      <c r="AH29" s="6" t="s">
        <v>126</v>
      </c>
      <c r="BG29" s="20"/>
      <c r="BH29" s="19"/>
      <c r="BK29" s="2" t="s">
        <v>43</v>
      </c>
      <c r="BL29" t="s">
        <v>45</v>
      </c>
      <c r="BQ29" s="14"/>
      <c r="BR29" s="14"/>
      <c r="BU29" s="10"/>
      <c r="CJ29" s="20"/>
    </row>
    <row r="30" spans="2:91" ht="19.2">
      <c r="B30" s="19"/>
      <c r="AD30" s="20"/>
      <c r="AE30" s="19"/>
      <c r="AG30" s="31" t="s">
        <v>23</v>
      </c>
      <c r="AH30" s="13" t="s">
        <v>127</v>
      </c>
      <c r="BG30" s="20"/>
      <c r="BH30" s="19"/>
      <c r="BL30" s="48" t="s">
        <v>55</v>
      </c>
      <c r="BM30" s="48"/>
      <c r="BN30" s="65">
        <v>500</v>
      </c>
      <c r="BO30" s="65"/>
      <c r="BP30" t="s">
        <v>33</v>
      </c>
      <c r="BT30" s="64" t="s">
        <v>56</v>
      </c>
      <c r="BU30" s="64"/>
      <c r="BV30" s="61">
        <v>887.81</v>
      </c>
      <c r="BW30" s="62"/>
      <c r="BX30" s="13" t="s">
        <v>33</v>
      </c>
      <c r="CA30" s="66" t="s">
        <v>57</v>
      </c>
      <c r="CB30" s="67"/>
      <c r="CC30" s="68"/>
      <c r="CD30" s="83">
        <f>BN30/BV30</f>
        <v>0.56318356405086678</v>
      </c>
      <c r="CE30" s="83"/>
      <c r="CF30" s="16" t="s">
        <v>36</v>
      </c>
      <c r="CG30" s="47" t="str">
        <f>IF(CD30&gt;=1,"NG","OK")</f>
        <v>OK</v>
      </c>
      <c r="CH30" s="47"/>
      <c r="CJ30" s="20"/>
      <c r="CM30" s="30"/>
    </row>
    <row r="31" spans="2:91" ht="19.2">
      <c r="B31" s="19"/>
      <c r="T31" s="4"/>
      <c r="AD31" s="20"/>
      <c r="AE31" s="19"/>
      <c r="AH31" s="2" t="s">
        <v>30</v>
      </c>
      <c r="AI31" t="s">
        <v>128</v>
      </c>
      <c r="AP31" t="s">
        <v>32</v>
      </c>
      <c r="AT31" s="61">
        <v>855.81</v>
      </c>
      <c r="AU31" s="62"/>
      <c r="AV31" t="s">
        <v>33</v>
      </c>
      <c r="AX31" t="s">
        <v>129</v>
      </c>
      <c r="BG31" s="20"/>
      <c r="BH31" s="19"/>
      <c r="BK31" s="2" t="s">
        <v>63</v>
      </c>
      <c r="BL31" t="s">
        <v>130</v>
      </c>
      <c r="CJ31" s="20"/>
      <c r="CM31" s="30"/>
    </row>
    <row r="32" spans="2:91" ht="17.399999999999999" customHeight="1" thickBot="1">
      <c r="B32" s="19"/>
      <c r="C32" s="49" t="s">
        <v>131</v>
      </c>
      <c r="D32" s="49"/>
      <c r="E32" s="49"/>
      <c r="F32" s="49"/>
      <c r="G32" s="49"/>
      <c r="AD32" s="20"/>
      <c r="AE32" s="19"/>
      <c r="AH32" s="2" t="s">
        <v>43</v>
      </c>
      <c r="AI32" t="s">
        <v>132</v>
      </c>
      <c r="AP32" s="10" t="s">
        <v>133</v>
      </c>
      <c r="AT32" s="61">
        <v>980.01</v>
      </c>
      <c r="AU32" s="62"/>
      <c r="AV32" s="13" t="s">
        <v>33</v>
      </c>
      <c r="AX32" s="13" t="s">
        <v>134</v>
      </c>
      <c r="BG32" s="20"/>
      <c r="BH32" s="19"/>
      <c r="BL32" s="35">
        <v>1</v>
      </c>
      <c r="BM32" s="3" t="s">
        <v>49</v>
      </c>
      <c r="BN32" s="71"/>
      <c r="BO32" s="71"/>
      <c r="BP32" t="s">
        <v>20</v>
      </c>
      <c r="BR32" s="37"/>
      <c r="BS32" s="37"/>
      <c r="BX32" s="36"/>
      <c r="BY32" s="36"/>
      <c r="CJ32" s="20"/>
      <c r="CM32" s="30"/>
    </row>
    <row r="33" spans="2:91" ht="19.8" thickTop="1">
      <c r="B33" s="19"/>
      <c r="AD33" s="20"/>
      <c r="AE33" s="19"/>
      <c r="AI33" s="4"/>
      <c r="AJ33" t="s">
        <v>135</v>
      </c>
      <c r="AK33" s="72">
        <v>3.4</v>
      </c>
      <c r="AL33" s="73"/>
      <c r="AM33" t="s">
        <v>136</v>
      </c>
      <c r="AP33" t="s">
        <v>137</v>
      </c>
      <c r="AQ33" s="72">
        <v>1.79</v>
      </c>
      <c r="AR33" s="73"/>
      <c r="AS33" t="s">
        <v>136</v>
      </c>
      <c r="AV33" t="s">
        <v>138</v>
      </c>
      <c r="AW33" s="72">
        <v>82.07</v>
      </c>
      <c r="AX33" s="73"/>
      <c r="AY33" t="s">
        <v>136</v>
      </c>
      <c r="BG33" s="20"/>
      <c r="BH33" s="19"/>
      <c r="CJ33" s="20"/>
      <c r="CM33" s="30"/>
    </row>
    <row r="34" spans="2:91" ht="19.2">
      <c r="B34" s="19"/>
      <c r="D34" s="15" t="s">
        <v>23</v>
      </c>
      <c r="E34" s="6" t="s">
        <v>139</v>
      </c>
      <c r="R34" s="15" t="s">
        <v>64</v>
      </c>
      <c r="S34" s="6" t="s">
        <v>140</v>
      </c>
      <c r="AD34" s="20"/>
      <c r="AE34" s="19"/>
      <c r="AG34" s="15"/>
      <c r="AH34" s="2" t="s">
        <v>63</v>
      </c>
      <c r="AI34" t="s">
        <v>45</v>
      </c>
      <c r="AN34" s="14"/>
      <c r="AO34" s="14"/>
      <c r="AR34" s="10"/>
      <c r="BG34" s="20"/>
      <c r="BH34" s="19"/>
      <c r="BJ34" s="31" t="s">
        <v>64</v>
      </c>
      <c r="BK34" s="13" t="s">
        <v>89</v>
      </c>
      <c r="CJ34" s="20"/>
      <c r="CM34" s="30"/>
    </row>
    <row r="35" spans="2:91" ht="19.2">
      <c r="B35" s="19"/>
      <c r="E35" t="s">
        <v>141</v>
      </c>
      <c r="G35" s="71">
        <v>7188</v>
      </c>
      <c r="H35" s="71"/>
      <c r="I35" t="s">
        <v>142</v>
      </c>
      <c r="S35" t="s">
        <v>141</v>
      </c>
      <c r="U35" s="71">
        <v>475960</v>
      </c>
      <c r="V35" s="71"/>
      <c r="W35" t="s">
        <v>142</v>
      </c>
      <c r="AD35" s="20"/>
      <c r="AE35" s="19"/>
      <c r="AI35" s="48" t="s">
        <v>55</v>
      </c>
      <c r="AJ35" s="48"/>
      <c r="AK35" s="65">
        <v>374.81</v>
      </c>
      <c r="AL35" s="65"/>
      <c r="AM35" t="s">
        <v>33</v>
      </c>
      <c r="AQ35" s="64" t="s">
        <v>56</v>
      </c>
      <c r="AR35" s="64"/>
      <c r="AS35" s="61">
        <v>770.23</v>
      </c>
      <c r="AT35" s="62"/>
      <c r="AU35" s="13" t="s">
        <v>33</v>
      </c>
      <c r="AX35" s="66" t="s">
        <v>143</v>
      </c>
      <c r="AY35" s="67"/>
      <c r="AZ35" s="68"/>
      <c r="BA35" s="83">
        <f>AK35/AS35</f>
        <v>0.48662087947755867</v>
      </c>
      <c r="BB35" s="83"/>
      <c r="BC35" s="16" t="s">
        <v>36</v>
      </c>
      <c r="BD35" s="47" t="str">
        <f>IF(BA35&gt;=1,"NG","OK")</f>
        <v>OK</v>
      </c>
      <c r="BE35" s="47"/>
      <c r="BG35" s="20"/>
      <c r="BH35" s="19"/>
      <c r="BJ35" s="3"/>
      <c r="BK35" s="2" t="s">
        <v>30</v>
      </c>
      <c r="BL35" t="s">
        <v>95</v>
      </c>
      <c r="BS35" t="s">
        <v>96</v>
      </c>
      <c r="BW35" s="61">
        <v>1366.2</v>
      </c>
      <c r="BX35" s="62"/>
      <c r="BY35" t="s">
        <v>97</v>
      </c>
      <c r="CJ35" s="20"/>
      <c r="CM35" s="30"/>
    </row>
    <row r="36" spans="2:91" ht="19.2">
      <c r="B36" s="19"/>
      <c r="E36" t="s">
        <v>144</v>
      </c>
      <c r="G36" s="74">
        <v>155500515.31999999</v>
      </c>
      <c r="H36" s="74"/>
      <c r="I36" t="s">
        <v>145</v>
      </c>
      <c r="K36" t="s">
        <v>146</v>
      </c>
      <c r="M36" s="74">
        <v>945873</v>
      </c>
      <c r="N36" s="74"/>
      <c r="O36" t="s">
        <v>147</v>
      </c>
      <c r="S36" t="s">
        <v>144</v>
      </c>
      <c r="U36" s="74">
        <v>1509877795.98</v>
      </c>
      <c r="V36" s="74"/>
      <c r="W36" t="s">
        <v>145</v>
      </c>
      <c r="Y36" t="s">
        <v>146</v>
      </c>
      <c r="AA36" s="74">
        <v>371948765.88</v>
      </c>
      <c r="AB36" s="74"/>
      <c r="AC36" t="s">
        <v>147</v>
      </c>
      <c r="AD36" s="20"/>
      <c r="AE36" s="19"/>
      <c r="BG36" s="20"/>
      <c r="BH36" s="19"/>
      <c r="BK36" s="2" t="s">
        <v>43</v>
      </c>
      <c r="BL36" t="s">
        <v>100</v>
      </c>
      <c r="BN36">
        <v>1000</v>
      </c>
      <c r="BS36" s="3" t="s">
        <v>101</v>
      </c>
      <c r="BW36" s="61">
        <v>1</v>
      </c>
      <c r="BX36" s="62"/>
      <c r="CJ36" s="20"/>
      <c r="CM36" s="30"/>
    </row>
    <row r="37" spans="2:91" ht="19.2">
      <c r="B37" s="19"/>
      <c r="E37" t="s">
        <v>148</v>
      </c>
      <c r="G37" s="74">
        <v>730644.94</v>
      </c>
      <c r="H37" s="74"/>
      <c r="I37" t="s">
        <v>147</v>
      </c>
      <c r="K37" t="s">
        <v>149</v>
      </c>
      <c r="M37" s="74">
        <v>830782.21</v>
      </c>
      <c r="N37" s="74"/>
      <c r="O37" t="s">
        <v>147</v>
      </c>
      <c r="S37" t="s">
        <v>148</v>
      </c>
      <c r="U37" s="74">
        <v>9847536.6199999992</v>
      </c>
      <c r="V37" s="74"/>
      <c r="W37" t="s">
        <v>147</v>
      </c>
      <c r="Y37" t="s">
        <v>149</v>
      </c>
      <c r="AA37" s="74">
        <v>3806338.78</v>
      </c>
      <c r="AB37" s="74"/>
      <c r="AC37" t="s">
        <v>147</v>
      </c>
      <c r="AD37" s="20"/>
      <c r="AE37" s="19"/>
      <c r="AG37" s="31" t="s">
        <v>64</v>
      </c>
      <c r="AH37" s="13" t="s">
        <v>105</v>
      </c>
      <c r="BG37" s="20"/>
      <c r="BH37" s="19"/>
      <c r="BL37" t="s">
        <v>104</v>
      </c>
      <c r="BN37" s="61">
        <v>51.45</v>
      </c>
      <c r="BO37" s="62"/>
      <c r="BP37" s="3"/>
      <c r="BV37" s="61">
        <v>59.96</v>
      </c>
      <c r="BW37" s="62"/>
      <c r="CD37" s="61">
        <v>74.67</v>
      </c>
      <c r="CE37" s="62"/>
      <c r="CJ37" s="20"/>
      <c r="CM37" s="30"/>
    </row>
    <row r="38" spans="2:91" ht="19.2">
      <c r="B38" s="19"/>
      <c r="E38" t="s">
        <v>150</v>
      </c>
      <c r="G38" s="80">
        <v>187.17</v>
      </c>
      <c r="H38" s="80"/>
      <c r="I38" t="s">
        <v>20</v>
      </c>
      <c r="K38" t="s">
        <v>151</v>
      </c>
      <c r="M38" s="81">
        <v>180.5</v>
      </c>
      <c r="N38" s="81"/>
      <c r="O38" t="s">
        <v>20</v>
      </c>
      <c r="S38" t="s">
        <v>150</v>
      </c>
      <c r="U38" s="80">
        <v>396.67</v>
      </c>
      <c r="V38" s="80"/>
      <c r="W38" t="s">
        <v>20</v>
      </c>
      <c r="Y38" t="s">
        <v>151</v>
      </c>
      <c r="AA38" s="71">
        <v>18.21</v>
      </c>
      <c r="AB38" s="71"/>
      <c r="AC38" t="s">
        <v>20</v>
      </c>
      <c r="AD38" s="20"/>
      <c r="AE38" s="19"/>
      <c r="AH38" s="2" t="s">
        <v>30</v>
      </c>
      <c r="AI38" t="s">
        <v>95</v>
      </c>
      <c r="AO38" t="s">
        <v>96</v>
      </c>
      <c r="AS38" s="61">
        <v>1366.2</v>
      </c>
      <c r="AT38" s="62"/>
      <c r="AU38" t="s">
        <v>97</v>
      </c>
      <c r="BG38" s="20"/>
      <c r="BH38" s="19"/>
      <c r="BK38" s="2" t="s">
        <v>63</v>
      </c>
      <c r="BL38" t="s">
        <v>45</v>
      </c>
      <c r="CJ38" s="20"/>
      <c r="CM38" s="30"/>
    </row>
    <row r="39" spans="2:91" ht="19.2">
      <c r="B39" s="19"/>
      <c r="AD39" s="20"/>
      <c r="AE39" s="19"/>
      <c r="AH39" s="2" t="s">
        <v>43</v>
      </c>
      <c r="AI39" t="s">
        <v>100</v>
      </c>
      <c r="AO39" s="3" t="s">
        <v>101</v>
      </c>
      <c r="AS39" s="61">
        <v>1</v>
      </c>
      <c r="AT39" s="62"/>
      <c r="BG39" s="20"/>
      <c r="BH39" s="19"/>
      <c r="BL39" s="48" t="s">
        <v>106</v>
      </c>
      <c r="BM39" s="48"/>
      <c r="BN39" s="65">
        <v>500</v>
      </c>
      <c r="BO39" s="65"/>
      <c r="BP39" t="s">
        <v>97</v>
      </c>
      <c r="BT39" s="64" t="s">
        <v>107</v>
      </c>
      <c r="BU39" s="64"/>
      <c r="BV39" s="69">
        <v>1366.2</v>
      </c>
      <c r="BW39" s="70"/>
      <c r="BX39" t="s">
        <v>97</v>
      </c>
      <c r="CA39" s="66" t="s">
        <v>108</v>
      </c>
      <c r="CB39" s="67"/>
      <c r="CC39" s="68"/>
      <c r="CD39" s="46">
        <f>BN39/BV39</f>
        <v>0.36597862684819205</v>
      </c>
      <c r="CE39" s="46"/>
      <c r="CF39" s="16" t="s">
        <v>36</v>
      </c>
      <c r="CG39" s="47" t="str">
        <f>IF(CD39&gt;=1,"NG","OK")</f>
        <v>OK</v>
      </c>
      <c r="CH39" s="47"/>
      <c r="CJ39" s="20"/>
      <c r="CM39" s="30"/>
    </row>
    <row r="40" spans="2:91" ht="19.2">
      <c r="B40" s="19"/>
      <c r="AD40" s="20"/>
      <c r="AE40" s="19"/>
      <c r="AI40" t="s">
        <v>104</v>
      </c>
      <c r="AK40" s="61">
        <v>51.45</v>
      </c>
      <c r="AL40" s="62"/>
      <c r="AM40" s="3"/>
      <c r="AS40" s="61">
        <v>59.96</v>
      </c>
      <c r="AT40" s="62"/>
      <c r="BA40" s="61">
        <v>74.67</v>
      </c>
      <c r="BB40" s="62"/>
      <c r="BG40" s="20"/>
      <c r="BH40" s="19"/>
      <c r="CJ40" s="20"/>
      <c r="CM40" s="30"/>
    </row>
    <row r="41" spans="2:91" ht="19.2">
      <c r="B41" s="19"/>
      <c r="D41" s="15" t="s">
        <v>88</v>
      </c>
      <c r="E41" s="6" t="s">
        <v>338</v>
      </c>
      <c r="AD41" s="20"/>
      <c r="AE41" s="19"/>
      <c r="AH41" s="2" t="s">
        <v>63</v>
      </c>
      <c r="AI41" t="s">
        <v>45</v>
      </c>
      <c r="BG41" s="20"/>
      <c r="BH41" s="19"/>
      <c r="BJ41" s="6" t="s">
        <v>152</v>
      </c>
      <c r="BK41" s="6" t="s">
        <v>153</v>
      </c>
      <c r="CJ41" s="20"/>
      <c r="CM41" s="30"/>
    </row>
    <row r="42" spans="2:91" ht="19.2">
      <c r="B42" s="19"/>
      <c r="E42" t="s">
        <v>141</v>
      </c>
      <c r="G42" s="71">
        <v>13440</v>
      </c>
      <c r="H42" s="71"/>
      <c r="I42" t="s">
        <v>142</v>
      </c>
      <c r="AD42" s="20"/>
      <c r="AE42" s="19"/>
      <c r="AI42" s="48" t="s">
        <v>106</v>
      </c>
      <c r="AJ42" s="48"/>
      <c r="AK42" s="65">
        <v>224.89</v>
      </c>
      <c r="AL42" s="65"/>
      <c r="AM42" t="s">
        <v>97</v>
      </c>
      <c r="AQ42" s="64" t="s">
        <v>107</v>
      </c>
      <c r="AR42" s="64"/>
      <c r="AS42" s="69">
        <v>1366.2</v>
      </c>
      <c r="AT42" s="70"/>
      <c r="AU42" t="s">
        <v>97</v>
      </c>
      <c r="AX42" s="66" t="s">
        <v>108</v>
      </c>
      <c r="AY42" s="67"/>
      <c r="AZ42" s="68"/>
      <c r="BA42" s="46">
        <f>AK42/AS42</f>
        <v>0.16460986678377981</v>
      </c>
      <c r="BB42" s="46"/>
      <c r="BC42" s="16" t="s">
        <v>36</v>
      </c>
      <c r="BD42" s="47" t="str">
        <f>IF(BA42&gt;=1,"NG","OK")</f>
        <v>OK</v>
      </c>
      <c r="BE42" s="47"/>
      <c r="BG42" s="20"/>
      <c r="BH42" s="19"/>
      <c r="BK42" s="2" t="s">
        <v>30</v>
      </c>
      <c r="BL42" t="s">
        <v>154</v>
      </c>
      <c r="BO42" s="76">
        <v>100</v>
      </c>
      <c r="BP42" s="76"/>
      <c r="BQ42" t="s">
        <v>38</v>
      </c>
      <c r="CJ42" s="20"/>
      <c r="CM42" s="30"/>
    </row>
    <row r="43" spans="2:91" ht="19.2">
      <c r="B43" s="19"/>
      <c r="E43" t="s">
        <v>144</v>
      </c>
      <c r="G43" s="74">
        <v>744186438</v>
      </c>
      <c r="H43" s="74"/>
      <c r="I43" t="s">
        <v>145</v>
      </c>
      <c r="K43" t="s">
        <v>146</v>
      </c>
      <c r="M43" s="74">
        <v>2863179</v>
      </c>
      <c r="N43" s="74"/>
      <c r="O43" t="s">
        <v>147</v>
      </c>
      <c r="AD43" s="20"/>
      <c r="AE43" s="19"/>
      <c r="BG43" s="20"/>
      <c r="BH43" s="19"/>
      <c r="BK43" s="2" t="s">
        <v>43</v>
      </c>
      <c r="BL43" s="38" t="s">
        <v>155</v>
      </c>
      <c r="BM43" t="s">
        <v>19</v>
      </c>
      <c r="BO43" s="65">
        <v>1.4</v>
      </c>
      <c r="BP43" s="65"/>
      <c r="BQ43" t="s">
        <v>20</v>
      </c>
      <c r="BT43" s="25" t="s">
        <v>156</v>
      </c>
      <c r="BU43" s="3"/>
      <c r="BV43" s="65">
        <v>27.8</v>
      </c>
      <c r="BW43" s="65"/>
      <c r="CB43" s="3" t="s">
        <v>157</v>
      </c>
      <c r="CD43" s="46">
        <f>BO43/BV43</f>
        <v>5.035971223021582E-2</v>
      </c>
      <c r="CE43" s="46"/>
      <c r="CF43" s="16" t="s">
        <v>36</v>
      </c>
      <c r="CG43" s="47" t="str">
        <f>IF(CD43&lt;=1,"OK","NG")</f>
        <v>OK</v>
      </c>
      <c r="CH43" s="47"/>
      <c r="CJ43" s="20"/>
      <c r="CM43" s="30"/>
    </row>
    <row r="44" spans="2:91" ht="19.2">
      <c r="B44" s="19"/>
      <c r="E44" t="s">
        <v>148</v>
      </c>
      <c r="G44" s="74">
        <v>2480621.46</v>
      </c>
      <c r="H44" s="74"/>
      <c r="I44" t="s">
        <v>147</v>
      </c>
      <c r="K44" t="s">
        <v>149</v>
      </c>
      <c r="M44" s="74">
        <v>2480621.46</v>
      </c>
      <c r="N44" s="74"/>
      <c r="O44" t="s">
        <v>147</v>
      </c>
      <c r="AD44" s="20"/>
      <c r="AE44" s="19"/>
      <c r="BG44" s="20"/>
      <c r="BH44" s="19"/>
      <c r="BK44" s="2" t="s">
        <v>43</v>
      </c>
      <c r="BL44" s="39" t="s">
        <v>158</v>
      </c>
      <c r="BM44" t="s">
        <v>19</v>
      </c>
      <c r="BO44" s="65">
        <v>19.2</v>
      </c>
      <c r="BP44" s="65"/>
      <c r="BQ44" t="s">
        <v>20</v>
      </c>
      <c r="BT44" s="25" t="s">
        <v>159</v>
      </c>
      <c r="BU44" s="3"/>
      <c r="BV44" s="65">
        <v>41.7</v>
      </c>
      <c r="BW44" s="65"/>
      <c r="CB44" s="3" t="s">
        <v>157</v>
      </c>
      <c r="CD44" s="83">
        <f>BO44/BV44</f>
        <v>0.46043165467625896</v>
      </c>
      <c r="CE44" s="83"/>
      <c r="CF44" s="16" t="s">
        <v>36</v>
      </c>
      <c r="CG44" s="47" t="str">
        <f>IF(CD44&lt;=1,"OK","NG")</f>
        <v>OK</v>
      </c>
      <c r="CH44" s="47"/>
      <c r="CJ44" s="20"/>
      <c r="CM44" s="30"/>
    </row>
    <row r="45" spans="2:91" ht="19.2">
      <c r="B45" s="19"/>
      <c r="E45" t="s">
        <v>150</v>
      </c>
      <c r="G45" s="80">
        <v>300</v>
      </c>
      <c r="H45" s="80"/>
      <c r="I45" t="s">
        <v>20</v>
      </c>
      <c r="K45" t="s">
        <v>151</v>
      </c>
      <c r="M45" s="81">
        <v>300</v>
      </c>
      <c r="N45" s="81"/>
      <c r="O45" t="s">
        <v>20</v>
      </c>
      <c r="AD45" s="20"/>
      <c r="AE45" s="19"/>
      <c r="AG45" s="6" t="s">
        <v>160</v>
      </c>
      <c r="AH45" s="6" t="s">
        <v>153</v>
      </c>
      <c r="AX45" s="48"/>
      <c r="AY45" s="48"/>
      <c r="BG45" s="20"/>
      <c r="BH45" s="19"/>
      <c r="CJ45" s="20"/>
      <c r="CM45" s="30"/>
    </row>
    <row r="46" spans="2:91" ht="19.2">
      <c r="B46" s="19"/>
      <c r="AD46" s="20"/>
      <c r="AE46" s="19"/>
      <c r="AG46" s="15"/>
      <c r="AH46" s="2" t="s">
        <v>30</v>
      </c>
      <c r="AI46" t="s">
        <v>161</v>
      </c>
      <c r="AR46" s="69">
        <v>17</v>
      </c>
      <c r="AS46" s="70"/>
      <c r="AT46" t="s">
        <v>20</v>
      </c>
      <c r="BG46" s="20"/>
      <c r="BH46" s="19"/>
      <c r="BJ46" s="6" t="s">
        <v>162</v>
      </c>
      <c r="BK46" s="6" t="s">
        <v>163</v>
      </c>
      <c r="CJ46" s="20"/>
      <c r="CM46" s="30"/>
    </row>
    <row r="47" spans="2:91" ht="19.2">
      <c r="B47" s="19"/>
      <c r="AD47" s="20"/>
      <c r="AE47" s="19"/>
      <c r="AH47" s="2" t="s">
        <v>43</v>
      </c>
      <c r="AI47" t="s">
        <v>164</v>
      </c>
      <c r="AR47" s="69">
        <v>10.199999999999999</v>
      </c>
      <c r="AS47" s="70"/>
      <c r="AT47" t="s">
        <v>20</v>
      </c>
      <c r="BG47" s="20"/>
      <c r="BH47" s="19"/>
      <c r="BK47" s="2" t="s">
        <v>30</v>
      </c>
      <c r="BL47" t="s">
        <v>165</v>
      </c>
      <c r="BP47" s="71">
        <v>15.1</v>
      </c>
      <c r="BQ47" s="71"/>
      <c r="BR47" t="s">
        <v>166</v>
      </c>
      <c r="BT47">
        <v>3</v>
      </c>
      <c r="BU47" t="s">
        <v>166</v>
      </c>
      <c r="CF47" s="16" t="s">
        <v>36</v>
      </c>
      <c r="CG47" s="47" t="str">
        <f>IF(BP47&gt;=BT47,"OK","NG")</f>
        <v>OK</v>
      </c>
      <c r="CH47" s="47"/>
      <c r="CJ47" s="20"/>
      <c r="CM47" s="30"/>
    </row>
    <row r="48" spans="2:91" ht="17.399999999999999" customHeight="1">
      <c r="B48" s="19"/>
      <c r="AD48" s="20"/>
      <c r="AE48" s="19"/>
      <c r="AH48" s="2" t="s">
        <v>63</v>
      </c>
      <c r="AI48" t="s">
        <v>45</v>
      </c>
      <c r="BG48" s="20"/>
      <c r="BH48" s="19"/>
      <c r="BJ48" s="15"/>
      <c r="CJ48" s="20"/>
      <c r="CM48" s="30"/>
    </row>
    <row r="49" spans="2:91" ht="19.2">
      <c r="B49" s="19"/>
      <c r="AD49" s="20"/>
      <c r="AE49" s="19"/>
      <c r="AI49" s="3" t="s">
        <v>167</v>
      </c>
      <c r="AJ49" s="12"/>
      <c r="AK49" s="69">
        <v>27.2</v>
      </c>
      <c r="AL49" s="70"/>
      <c r="AQ49" s="25" t="s">
        <v>168</v>
      </c>
      <c r="AR49" s="3"/>
      <c r="AS49" s="69">
        <v>40</v>
      </c>
      <c r="AT49" s="70"/>
      <c r="AV49" s="3"/>
      <c r="AY49" s="3" t="s">
        <v>157</v>
      </c>
      <c r="BA49" s="46">
        <f>AK49/AS49</f>
        <v>0.67999999999999994</v>
      </c>
      <c r="BB49" s="46"/>
      <c r="BC49" s="16" t="s">
        <v>36</v>
      </c>
      <c r="BD49" s="47" t="str">
        <f>IF(BA49&gt;=1,"NG","OK")</f>
        <v>OK</v>
      </c>
      <c r="BE49" s="47"/>
      <c r="BG49" s="20"/>
      <c r="BH49" s="19"/>
      <c r="BK49" s="2" t="s">
        <v>43</v>
      </c>
      <c r="BL49" t="s">
        <v>169</v>
      </c>
      <c r="BP49" s="71">
        <v>0.02</v>
      </c>
      <c r="BQ49" s="71"/>
      <c r="BR49" t="s">
        <v>38</v>
      </c>
      <c r="BT49" t="s">
        <v>170</v>
      </c>
      <c r="BX49" s="71">
        <v>0.5</v>
      </c>
      <c r="BY49" s="71"/>
      <c r="BZ49" t="s">
        <v>38</v>
      </c>
      <c r="CF49" s="16" t="s">
        <v>36</v>
      </c>
      <c r="CG49" s="47" t="str">
        <f>IF(BP49&lt;=BX49,"OK","NG")</f>
        <v>OK</v>
      </c>
      <c r="CH49" s="47"/>
      <c r="CJ49" s="20"/>
      <c r="CM49" s="30"/>
    </row>
    <row r="50" spans="2:91" ht="19.2">
      <c r="B50" s="19"/>
      <c r="AD50" s="20"/>
      <c r="AE50" s="19"/>
      <c r="BG50" s="20"/>
      <c r="BH50" s="19"/>
      <c r="CJ50" s="20"/>
      <c r="CM50" s="30"/>
    </row>
    <row r="51" spans="2:91" ht="19.2">
      <c r="B51" s="19"/>
      <c r="AD51" s="20"/>
      <c r="AE51" s="19"/>
      <c r="BG51" s="20"/>
      <c r="BH51" s="19"/>
      <c r="CJ51" s="20"/>
      <c r="CM51" s="30"/>
    </row>
    <row r="52" spans="2:91">
      <c r="B52" s="17"/>
      <c r="C52" s="17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P52" s="17"/>
      <c r="Q52" s="17"/>
      <c r="R52" s="17"/>
      <c r="S52" s="17"/>
      <c r="T52" s="17"/>
      <c r="U52" s="17"/>
      <c r="V52" s="17"/>
      <c r="W52" s="17"/>
      <c r="X52" s="17"/>
      <c r="Y52" s="17"/>
      <c r="Z52" s="17"/>
      <c r="AA52" s="17"/>
      <c r="AB52" s="17"/>
      <c r="AC52" s="17"/>
      <c r="AD52" s="17"/>
      <c r="AE52" s="17"/>
      <c r="AF52" s="17"/>
      <c r="AG52" s="17"/>
      <c r="AH52" s="17"/>
      <c r="AI52" s="17"/>
      <c r="AJ52" s="17"/>
      <c r="AK52" s="17"/>
      <c r="AL52" s="17"/>
      <c r="AM52" s="17"/>
      <c r="AN52" s="17"/>
      <c r="AO52" s="17"/>
      <c r="AP52" s="17"/>
      <c r="AQ52" s="17"/>
      <c r="AR52" s="17"/>
      <c r="AS52" s="17"/>
      <c r="AT52" s="17"/>
      <c r="AU52" s="17"/>
      <c r="AV52" s="17"/>
      <c r="AW52" s="17"/>
      <c r="AX52" s="17"/>
      <c r="AY52" s="17"/>
      <c r="AZ52" s="17"/>
      <c r="BA52" s="17"/>
      <c r="BB52" s="17"/>
      <c r="BC52" s="17"/>
      <c r="BD52" s="17"/>
      <c r="BE52" s="17"/>
      <c r="BF52" s="17"/>
      <c r="BG52" s="17"/>
      <c r="BH52" s="17"/>
      <c r="BI52" s="17"/>
      <c r="BJ52" s="17"/>
      <c r="BK52" s="17"/>
      <c r="BL52" s="17"/>
      <c r="BM52" s="17"/>
      <c r="BN52" s="17"/>
      <c r="BO52" s="17"/>
      <c r="BP52" s="17"/>
      <c r="BQ52" s="17"/>
      <c r="BR52" s="17"/>
      <c r="BS52" s="17"/>
      <c r="BT52" s="17"/>
      <c r="BU52" s="17"/>
      <c r="BV52" s="17"/>
      <c r="BW52" s="17"/>
      <c r="BX52" s="17"/>
      <c r="BY52" s="17"/>
      <c r="BZ52" s="17"/>
      <c r="CA52" s="17"/>
      <c r="CB52" s="17"/>
      <c r="CC52" s="17"/>
      <c r="CD52" s="17"/>
      <c r="CE52" s="17"/>
      <c r="CF52" s="17"/>
      <c r="CG52" s="17"/>
      <c r="CH52" s="17"/>
      <c r="CI52" s="17"/>
      <c r="CJ52" s="17"/>
    </row>
    <row r="54" spans="2:91">
      <c r="AE54" s="10"/>
    </row>
    <row r="55" spans="2:91">
      <c r="AE55" s="10"/>
    </row>
    <row r="56" spans="2:91">
      <c r="AE56" s="10"/>
    </row>
    <row r="58" spans="2:91">
      <c r="AE58" s="10"/>
    </row>
    <row r="59" spans="2:91">
      <c r="AE59" s="10"/>
    </row>
    <row r="70" spans="2:83">
      <c r="BW70" s="27"/>
      <c r="BX70" s="27"/>
      <c r="CD70" s="27"/>
      <c r="CE70" s="27"/>
    </row>
    <row r="71" spans="2:83">
      <c r="M71" t="s">
        <v>171</v>
      </c>
      <c r="AV71" s="32"/>
      <c r="BB71" s="36"/>
    </row>
    <row r="72" spans="2:83">
      <c r="B72" t="s">
        <v>172</v>
      </c>
      <c r="E72" t="b">
        <v>1</v>
      </c>
      <c r="G72" t="s">
        <v>173</v>
      </c>
      <c r="M72" t="s">
        <v>174</v>
      </c>
      <c r="S72" t="s">
        <v>175</v>
      </c>
      <c r="AG72" s="41" t="s">
        <v>176</v>
      </c>
      <c r="AH72" s="28" t="s">
        <v>177</v>
      </c>
      <c r="AI72" s="29">
        <v>2</v>
      </c>
      <c r="AV72" s="32"/>
      <c r="BB72" s="36"/>
      <c r="BC72" s="36"/>
    </row>
    <row r="73" spans="2:83">
      <c r="B73" t="s">
        <v>178</v>
      </c>
      <c r="E73" t="b">
        <v>0</v>
      </c>
      <c r="G73" t="s">
        <v>179</v>
      </c>
      <c r="M73" t="s">
        <v>180</v>
      </c>
      <c r="S73" t="s">
        <v>181</v>
      </c>
      <c r="AG73" s="43"/>
      <c r="AH73" s="28" t="s">
        <v>182</v>
      </c>
      <c r="AI73" s="29">
        <v>5</v>
      </c>
      <c r="AV73" s="6"/>
      <c r="AW73" s="6"/>
    </row>
    <row r="74" spans="2:83">
      <c r="B74" t="s">
        <v>183</v>
      </c>
      <c r="G74" t="s">
        <v>184</v>
      </c>
      <c r="M74" t="s">
        <v>185</v>
      </c>
      <c r="S74" t="s">
        <v>186</v>
      </c>
      <c r="AG74" s="41" t="s">
        <v>187</v>
      </c>
      <c r="AH74" s="28" t="s">
        <v>188</v>
      </c>
      <c r="AI74" s="29">
        <v>2</v>
      </c>
      <c r="AV74" s="32"/>
      <c r="BB74" s="36"/>
      <c r="BK74" s="48"/>
      <c r="BL74" s="48"/>
    </row>
    <row r="75" spans="2:83">
      <c r="B75" t="s">
        <v>189</v>
      </c>
      <c r="G75" t="s">
        <v>190</v>
      </c>
      <c r="M75" t="s">
        <v>191</v>
      </c>
      <c r="S75" t="s">
        <v>192</v>
      </c>
      <c r="AG75" s="42"/>
      <c r="AH75" s="28" t="s">
        <v>193</v>
      </c>
      <c r="AI75" s="29">
        <v>3</v>
      </c>
      <c r="AV75" s="32"/>
    </row>
    <row r="76" spans="2:83">
      <c r="M76" t="s">
        <v>194</v>
      </c>
      <c r="S76" t="s">
        <v>195</v>
      </c>
      <c r="AG76" s="43"/>
      <c r="AH76" s="29" t="s">
        <v>196</v>
      </c>
      <c r="AI76" s="29">
        <v>4</v>
      </c>
      <c r="AV76" s="33"/>
      <c r="AW76" s="6"/>
    </row>
    <row r="77" spans="2:83">
      <c r="M77" t="s">
        <v>197</v>
      </c>
      <c r="AG77" s="41" t="s">
        <v>198</v>
      </c>
      <c r="AH77" s="28" t="s">
        <v>199</v>
      </c>
      <c r="AI77" s="29">
        <v>2</v>
      </c>
      <c r="AV77" s="33"/>
      <c r="AW77" s="6"/>
    </row>
    <row r="78" spans="2:83">
      <c r="M78" t="s">
        <v>200</v>
      </c>
      <c r="AG78" s="43"/>
      <c r="AH78" s="28" t="s">
        <v>201</v>
      </c>
      <c r="AI78" s="29">
        <v>5</v>
      </c>
    </row>
    <row r="79" spans="2:83">
      <c r="M79" t="s">
        <v>202</v>
      </c>
      <c r="AG79" s="41" t="s">
        <v>93</v>
      </c>
      <c r="AH79" s="28" t="s">
        <v>103</v>
      </c>
      <c r="AI79" s="29">
        <v>2.5</v>
      </c>
      <c r="AU79" s="8"/>
      <c r="AV79" s="6"/>
    </row>
    <row r="80" spans="2:83">
      <c r="M80" t="s">
        <v>203</v>
      </c>
      <c r="AG80" s="42"/>
      <c r="AH80" s="28" t="s">
        <v>204</v>
      </c>
      <c r="AI80" s="29">
        <v>5</v>
      </c>
      <c r="AV80" s="15"/>
      <c r="AW80" s="6"/>
    </row>
    <row r="81" spans="13:80">
      <c r="M81" t="s">
        <v>205</v>
      </c>
      <c r="AG81" s="42"/>
      <c r="AH81" s="28" t="s">
        <v>206</v>
      </c>
      <c r="AI81" s="29">
        <v>5</v>
      </c>
      <c r="AV81" s="15"/>
      <c r="AW81" s="6"/>
    </row>
    <row r="82" spans="13:80">
      <c r="M82" t="s">
        <v>207</v>
      </c>
      <c r="AG82" s="43"/>
      <c r="AH82" s="29" t="s">
        <v>196</v>
      </c>
      <c r="AI82" s="29">
        <v>4</v>
      </c>
      <c r="AV82" s="15"/>
      <c r="AW82" s="6"/>
    </row>
    <row r="83" spans="13:80">
      <c r="M83" t="s">
        <v>208</v>
      </c>
      <c r="AG83" s="41" t="s">
        <v>209</v>
      </c>
      <c r="AH83" s="28" t="s">
        <v>210</v>
      </c>
      <c r="AI83" s="29">
        <v>3</v>
      </c>
      <c r="AV83" s="15"/>
      <c r="AW83" s="6"/>
      <c r="BI83" s="48"/>
      <c r="BJ83" s="48"/>
      <c r="BK83" s="48"/>
      <c r="BL83" s="48"/>
    </row>
    <row r="84" spans="13:80">
      <c r="M84" t="s">
        <v>211</v>
      </c>
      <c r="AG84" s="42"/>
      <c r="AH84" s="28" t="s">
        <v>212</v>
      </c>
      <c r="AI84" s="29">
        <v>3</v>
      </c>
      <c r="AV84" s="15"/>
      <c r="AW84" s="6"/>
    </row>
    <row r="85" spans="13:80">
      <c r="M85" t="s">
        <v>213</v>
      </c>
      <c r="AG85" s="42"/>
      <c r="AH85" s="28" t="s">
        <v>214</v>
      </c>
      <c r="AI85" s="29">
        <v>5</v>
      </c>
      <c r="AV85" s="15"/>
      <c r="AW85" s="6"/>
      <c r="BK85" s="48"/>
      <c r="BL85" s="48"/>
      <c r="CB85" s="10"/>
    </row>
    <row r="86" spans="13:80">
      <c r="M86" t="s">
        <v>215</v>
      </c>
      <c r="AG86" s="43"/>
      <c r="AH86" s="29" t="s">
        <v>196</v>
      </c>
      <c r="AI86" s="29">
        <v>4</v>
      </c>
    </row>
    <row r="87" spans="13:80">
      <c r="M87" t="s">
        <v>216</v>
      </c>
      <c r="AG87" s="41" t="s">
        <v>217</v>
      </c>
      <c r="AH87" s="28" t="s">
        <v>218</v>
      </c>
      <c r="AI87" s="29">
        <v>5</v>
      </c>
    </row>
    <row r="88" spans="13:80">
      <c r="M88" t="s">
        <v>219</v>
      </c>
      <c r="AG88" s="42"/>
      <c r="AH88" s="28" t="s">
        <v>220</v>
      </c>
      <c r="AI88" s="29">
        <v>4</v>
      </c>
    </row>
    <row r="89" spans="13:80">
      <c r="M89" t="s">
        <v>221</v>
      </c>
      <c r="AG89" s="43"/>
      <c r="AH89" s="28" t="s">
        <v>222</v>
      </c>
      <c r="AI89" s="29">
        <v>6</v>
      </c>
    </row>
    <row r="90" spans="13:80">
      <c r="M90" t="s">
        <v>223</v>
      </c>
      <c r="AG90" s="41" t="s">
        <v>224</v>
      </c>
      <c r="AH90" s="28" t="s">
        <v>225</v>
      </c>
      <c r="AI90" s="29">
        <v>5</v>
      </c>
      <c r="BG90" s="10"/>
    </row>
    <row r="91" spans="13:80">
      <c r="M91" t="s">
        <v>226</v>
      </c>
      <c r="AG91" s="42"/>
      <c r="AH91" s="28" t="s">
        <v>227</v>
      </c>
      <c r="AI91" s="29">
        <v>7</v>
      </c>
    </row>
    <row r="92" spans="13:80">
      <c r="M92" t="s">
        <v>228</v>
      </c>
      <c r="AG92" s="42"/>
      <c r="AH92" s="28" t="s">
        <v>229</v>
      </c>
      <c r="AI92" s="29">
        <v>5</v>
      </c>
    </row>
    <row r="93" spans="13:80">
      <c r="M93" t="s">
        <v>230</v>
      </c>
      <c r="AG93" s="42"/>
      <c r="AH93" s="28" t="s">
        <v>231</v>
      </c>
      <c r="AI93" s="29">
        <v>7</v>
      </c>
    </row>
    <row r="94" spans="13:80">
      <c r="M94" t="s">
        <v>232</v>
      </c>
      <c r="AG94" s="42"/>
      <c r="AH94" s="28" t="s">
        <v>233</v>
      </c>
      <c r="AI94" s="29">
        <v>4</v>
      </c>
      <c r="AY94" s="34"/>
      <c r="AZ94" s="34"/>
      <c r="BA94" s="34"/>
      <c r="BB94" s="34"/>
    </row>
    <row r="95" spans="13:80">
      <c r="M95" t="s">
        <v>234</v>
      </c>
      <c r="AG95" s="42"/>
      <c r="AH95" s="28" t="s">
        <v>235</v>
      </c>
      <c r="AI95" s="29">
        <v>5</v>
      </c>
      <c r="AY95" s="34"/>
      <c r="AZ95" s="34"/>
      <c r="BA95" s="34"/>
      <c r="BB95" s="34"/>
    </row>
    <row r="96" spans="13:80">
      <c r="M96" t="s">
        <v>236</v>
      </c>
      <c r="AG96" s="43"/>
      <c r="AH96" s="28" t="s">
        <v>237</v>
      </c>
      <c r="AI96" s="29">
        <v>5</v>
      </c>
    </row>
    <row r="97" spans="13:81">
      <c r="M97" t="s">
        <v>238</v>
      </c>
      <c r="AG97" s="41" t="s">
        <v>239</v>
      </c>
      <c r="AH97" s="28" t="s">
        <v>240</v>
      </c>
      <c r="AI97" s="29">
        <v>5</v>
      </c>
      <c r="CC97" s="10"/>
    </row>
    <row r="98" spans="13:81">
      <c r="M98" t="s">
        <v>241</v>
      </c>
      <c r="AG98" s="42"/>
      <c r="AH98" s="28" t="s">
        <v>242</v>
      </c>
      <c r="AI98" s="29">
        <v>4</v>
      </c>
    </row>
    <row r="99" spans="13:81">
      <c r="M99" t="s">
        <v>243</v>
      </c>
      <c r="AG99" s="43"/>
      <c r="AH99" s="28" t="s">
        <v>244</v>
      </c>
      <c r="AI99" s="29">
        <v>5</v>
      </c>
    </row>
    <row r="100" spans="13:81">
      <c r="M100" t="s">
        <v>245</v>
      </c>
      <c r="AG100" s="41" t="s">
        <v>246</v>
      </c>
      <c r="AH100" s="28" t="s">
        <v>247</v>
      </c>
      <c r="AI100" s="29">
        <v>3</v>
      </c>
    </row>
    <row r="101" spans="13:81">
      <c r="M101" t="s">
        <v>248</v>
      </c>
      <c r="AG101" s="42"/>
      <c r="AH101" s="28" t="s">
        <v>249</v>
      </c>
      <c r="AI101" s="29">
        <v>7.5</v>
      </c>
      <c r="BG101" s="10"/>
    </row>
    <row r="102" spans="13:81">
      <c r="M102" t="s">
        <v>250</v>
      </c>
      <c r="AG102" s="43"/>
      <c r="AH102" s="29" t="s">
        <v>196</v>
      </c>
      <c r="AI102" s="29">
        <v>4</v>
      </c>
    </row>
    <row r="103" spans="13:81">
      <c r="M103" t="s">
        <v>251</v>
      </c>
      <c r="AG103" s="41" t="s">
        <v>252</v>
      </c>
      <c r="AH103" s="28" t="s">
        <v>253</v>
      </c>
      <c r="AI103" s="29">
        <v>3</v>
      </c>
      <c r="CC103" s="10"/>
    </row>
    <row r="104" spans="13:81">
      <c r="M104" t="s">
        <v>254</v>
      </c>
      <c r="AG104" s="42"/>
      <c r="AH104" s="28" t="s">
        <v>255</v>
      </c>
      <c r="AI104" s="29">
        <v>5</v>
      </c>
    </row>
    <row r="105" spans="13:81">
      <c r="M105" t="s">
        <v>256</v>
      </c>
      <c r="AG105" s="42"/>
      <c r="AH105" s="28" t="s">
        <v>257</v>
      </c>
      <c r="AI105" s="29">
        <v>6</v>
      </c>
    </row>
    <row r="106" spans="13:81">
      <c r="M106" t="s">
        <v>258</v>
      </c>
      <c r="AG106" s="42"/>
      <c r="AH106" s="28" t="s">
        <v>259</v>
      </c>
      <c r="AI106" s="29">
        <v>12</v>
      </c>
    </row>
    <row r="107" spans="13:81">
      <c r="M107" t="s">
        <v>260</v>
      </c>
      <c r="AG107" s="43"/>
      <c r="AH107" s="28" t="s">
        <v>261</v>
      </c>
      <c r="AI107" s="29">
        <v>12</v>
      </c>
      <c r="BX107" s="10"/>
    </row>
    <row r="108" spans="13:81">
      <c r="M108" t="s">
        <v>262</v>
      </c>
      <c r="AG108" s="41" t="s">
        <v>263</v>
      </c>
      <c r="AH108" s="28" t="s">
        <v>264</v>
      </c>
      <c r="AI108" s="29">
        <v>6</v>
      </c>
      <c r="BC108" s="10"/>
    </row>
    <row r="109" spans="13:81">
      <c r="M109" t="s">
        <v>265</v>
      </c>
      <c r="AG109" s="43"/>
      <c r="AH109" s="28" t="s">
        <v>266</v>
      </c>
      <c r="AI109" s="29">
        <v>12</v>
      </c>
      <c r="BC109" s="10"/>
      <c r="BU109" s="10"/>
    </row>
    <row r="110" spans="13:81">
      <c r="M110" t="s">
        <v>267</v>
      </c>
      <c r="AG110" s="41" t="s">
        <v>268</v>
      </c>
      <c r="AH110" s="28" t="s">
        <v>269</v>
      </c>
      <c r="AI110" s="29">
        <v>6</v>
      </c>
      <c r="CC110" s="10"/>
    </row>
    <row r="111" spans="13:81">
      <c r="M111" t="s">
        <v>270</v>
      </c>
      <c r="AG111" s="43"/>
      <c r="AH111" s="28" t="s">
        <v>271</v>
      </c>
      <c r="AI111" s="29">
        <v>12</v>
      </c>
      <c r="BE111" s="10"/>
      <c r="BF111" s="10"/>
      <c r="BG111" s="10"/>
    </row>
    <row r="112" spans="13:81">
      <c r="M112" t="s">
        <v>11</v>
      </c>
      <c r="AG112" s="41" t="s">
        <v>272</v>
      </c>
      <c r="AH112" s="28" t="s">
        <v>273</v>
      </c>
      <c r="AI112" s="29">
        <v>1</v>
      </c>
    </row>
    <row r="113" spans="13:81">
      <c r="M113" t="s">
        <v>274</v>
      </c>
      <c r="AG113" s="42"/>
      <c r="AH113" s="28" t="s">
        <v>275</v>
      </c>
      <c r="AI113" s="29">
        <v>3</v>
      </c>
      <c r="BP113" s="10"/>
    </row>
    <row r="114" spans="13:81">
      <c r="M114" t="s">
        <v>276</v>
      </c>
      <c r="AG114" s="42"/>
      <c r="AH114" s="28" t="s">
        <v>277</v>
      </c>
      <c r="AI114" s="29">
        <v>5</v>
      </c>
      <c r="BZ114" s="10"/>
    </row>
    <row r="115" spans="13:81">
      <c r="M115" t="s">
        <v>278</v>
      </c>
      <c r="AG115" s="42"/>
      <c r="AH115" s="28" t="s">
        <v>279</v>
      </c>
      <c r="AI115" s="29">
        <v>1</v>
      </c>
      <c r="BZ115" s="10"/>
    </row>
    <row r="116" spans="13:81">
      <c r="M116" t="s">
        <v>280</v>
      </c>
      <c r="AG116" s="43"/>
      <c r="AH116" s="28" t="s">
        <v>281</v>
      </c>
      <c r="AI116" s="29">
        <v>5</v>
      </c>
      <c r="BZ116" s="10"/>
    </row>
    <row r="117" spans="13:81">
      <c r="M117" t="s">
        <v>282</v>
      </c>
      <c r="AG117" s="28" t="s">
        <v>283</v>
      </c>
      <c r="AH117" s="28" t="s">
        <v>284</v>
      </c>
      <c r="AI117" s="29">
        <v>5</v>
      </c>
      <c r="BU117" s="10"/>
    </row>
    <row r="118" spans="13:81">
      <c r="M118" t="s">
        <v>285</v>
      </c>
      <c r="AG118" s="28" t="s">
        <v>286</v>
      </c>
      <c r="AH118" s="28" t="s">
        <v>287</v>
      </c>
      <c r="AI118" s="29">
        <v>12</v>
      </c>
      <c r="CC118" s="10"/>
    </row>
    <row r="119" spans="13:81">
      <c r="M119" t="s">
        <v>288</v>
      </c>
      <c r="AG119" s="28" t="s">
        <v>289</v>
      </c>
      <c r="AH119" s="44" t="s">
        <v>290</v>
      </c>
      <c r="AI119" s="45"/>
    </row>
    <row r="120" spans="13:81">
      <c r="M120" t="s">
        <v>291</v>
      </c>
      <c r="AG120" s="41" t="s">
        <v>292</v>
      </c>
      <c r="AH120" s="28" t="s">
        <v>293</v>
      </c>
      <c r="AI120" s="29">
        <v>5</v>
      </c>
    </row>
    <row r="121" spans="13:81">
      <c r="M121" t="s">
        <v>294</v>
      </c>
      <c r="AG121" s="43"/>
      <c r="AH121" s="29" t="s">
        <v>295</v>
      </c>
      <c r="AI121" s="28" t="s">
        <v>296</v>
      </c>
    </row>
    <row r="122" spans="13:81">
      <c r="M122" t="s">
        <v>297</v>
      </c>
      <c r="AG122" s="41" t="s">
        <v>298</v>
      </c>
      <c r="AH122" s="28" t="s">
        <v>299</v>
      </c>
      <c r="AI122" s="29">
        <v>2</v>
      </c>
    </row>
    <row r="123" spans="13:81">
      <c r="M123" t="s">
        <v>300</v>
      </c>
      <c r="AG123" s="43"/>
      <c r="AH123" s="28" t="s">
        <v>301</v>
      </c>
      <c r="AI123" s="29">
        <v>5</v>
      </c>
    </row>
    <row r="124" spans="13:81">
      <c r="M124" t="s">
        <v>302</v>
      </c>
      <c r="CC124" s="10"/>
    </row>
    <row r="125" spans="13:81">
      <c r="M125" t="s">
        <v>303</v>
      </c>
      <c r="CC125" s="10"/>
    </row>
    <row r="126" spans="13:81">
      <c r="M126" t="s">
        <v>304</v>
      </c>
    </row>
    <row r="127" spans="13:81">
      <c r="M127" t="s">
        <v>305</v>
      </c>
    </row>
    <row r="128" spans="13:81">
      <c r="M128" t="s">
        <v>306</v>
      </c>
    </row>
    <row r="129" spans="13:13">
      <c r="M129" t="s">
        <v>307</v>
      </c>
    </row>
    <row r="130" spans="13:13">
      <c r="M130" t="s">
        <v>308</v>
      </c>
    </row>
    <row r="131" spans="13:13">
      <c r="M131" t="s">
        <v>309</v>
      </c>
    </row>
    <row r="132" spans="13:13">
      <c r="M132" t="s">
        <v>310</v>
      </c>
    </row>
    <row r="133" spans="13:13">
      <c r="M133" t="s">
        <v>311</v>
      </c>
    </row>
    <row r="134" spans="13:13">
      <c r="M134" t="s">
        <v>312</v>
      </c>
    </row>
    <row r="135" spans="13:13">
      <c r="M135" t="s">
        <v>313</v>
      </c>
    </row>
    <row r="136" spans="13:13">
      <c r="M136" t="s">
        <v>314</v>
      </c>
    </row>
    <row r="137" spans="13:13">
      <c r="M137" t="s">
        <v>315</v>
      </c>
    </row>
    <row r="138" spans="13:13">
      <c r="M138" t="s">
        <v>316</v>
      </c>
    </row>
    <row r="139" spans="13:13">
      <c r="M139" t="s">
        <v>317</v>
      </c>
    </row>
    <row r="140" spans="13:13">
      <c r="M140" t="s">
        <v>318</v>
      </c>
    </row>
    <row r="141" spans="13:13">
      <c r="M141" t="s">
        <v>319</v>
      </c>
    </row>
    <row r="142" spans="13:13">
      <c r="M142" t="s">
        <v>320</v>
      </c>
    </row>
    <row r="143" spans="13:13">
      <c r="M143" t="s">
        <v>321</v>
      </c>
    </row>
    <row r="144" spans="13:13">
      <c r="M144" t="s">
        <v>322</v>
      </c>
    </row>
    <row r="145" spans="13:13">
      <c r="M145" t="s">
        <v>323</v>
      </c>
    </row>
    <row r="146" spans="13:13">
      <c r="M146" t="s">
        <v>324</v>
      </c>
    </row>
    <row r="147" spans="13:13">
      <c r="M147" t="s">
        <v>325</v>
      </c>
    </row>
    <row r="148" spans="13:13">
      <c r="M148" t="s">
        <v>326</v>
      </c>
    </row>
    <row r="149" spans="13:13">
      <c r="M149" t="s">
        <v>327</v>
      </c>
    </row>
    <row r="150" spans="13:13">
      <c r="M150" t="s">
        <v>328</v>
      </c>
    </row>
    <row r="151" spans="13:13">
      <c r="M151" t="s">
        <v>329</v>
      </c>
    </row>
  </sheetData>
  <mergeCells count="221">
    <mergeCell ref="M43:N43"/>
    <mergeCell ref="G44:H44"/>
    <mergeCell ref="M44:N44"/>
    <mergeCell ref="G45:H45"/>
    <mergeCell ref="M45:N45"/>
    <mergeCell ref="C3:G3"/>
    <mergeCell ref="AF3:AJ3"/>
    <mergeCell ref="AA12:AB12"/>
    <mergeCell ref="I13:J13"/>
    <mergeCell ref="I7:J7"/>
    <mergeCell ref="I11:J11"/>
    <mergeCell ref="AK49:AL49"/>
    <mergeCell ref="AS49:AT49"/>
    <mergeCell ref="C23:G23"/>
    <mergeCell ref="G35:H35"/>
    <mergeCell ref="U35:V35"/>
    <mergeCell ref="G36:H36"/>
    <mergeCell ref="M36:N36"/>
    <mergeCell ref="U36:V36"/>
    <mergeCell ref="I8:J8"/>
    <mergeCell ref="I9:J9"/>
    <mergeCell ref="I10:J10"/>
    <mergeCell ref="C32:G32"/>
    <mergeCell ref="G38:H38"/>
    <mergeCell ref="M38:N38"/>
    <mergeCell ref="U38:V38"/>
    <mergeCell ref="AA38:AB38"/>
    <mergeCell ref="G37:H37"/>
    <mergeCell ref="M37:N37"/>
    <mergeCell ref="AS8:AT8"/>
    <mergeCell ref="AO10:AP10"/>
    <mergeCell ref="G42:H42"/>
    <mergeCell ref="G43:H43"/>
    <mergeCell ref="CG10:CH10"/>
    <mergeCell ref="BT16:BU16"/>
    <mergeCell ref="BN16:BO16"/>
    <mergeCell ref="BL16:BM16"/>
    <mergeCell ref="BV16:BW16"/>
    <mergeCell ref="AA36:AB36"/>
    <mergeCell ref="I18:J18"/>
    <mergeCell ref="I19:J19"/>
    <mergeCell ref="I20:J20"/>
    <mergeCell ref="H29:I29"/>
    <mergeCell ref="R28:S28"/>
    <mergeCell ref="AK26:AL26"/>
    <mergeCell ref="H27:I27"/>
    <mergeCell ref="H28:I28"/>
    <mergeCell ref="AS23:AT23"/>
    <mergeCell ref="I16:J16"/>
    <mergeCell ref="I17:J17"/>
    <mergeCell ref="AT31:AU31"/>
    <mergeCell ref="CD22:CE22"/>
    <mergeCell ref="BY27:BZ27"/>
    <mergeCell ref="BY28:BZ28"/>
    <mergeCell ref="CA16:CC16"/>
    <mergeCell ref="CA10:CC10"/>
    <mergeCell ref="CD10:CE10"/>
    <mergeCell ref="AS10:AT10"/>
    <mergeCell ref="AW10:AX10"/>
    <mergeCell ref="BT10:BU10"/>
    <mergeCell ref="BN10:BO10"/>
    <mergeCell ref="BL10:BM10"/>
    <mergeCell ref="BO8:BP8"/>
    <mergeCell ref="BY13:BZ13"/>
    <mergeCell ref="BA12:BB12"/>
    <mergeCell ref="BY14:BZ14"/>
    <mergeCell ref="BV8:BW8"/>
    <mergeCell ref="BT22:BU22"/>
    <mergeCell ref="BQ27:BR27"/>
    <mergeCell ref="BV10:BW10"/>
    <mergeCell ref="BN22:BO22"/>
    <mergeCell ref="BL22:BM22"/>
    <mergeCell ref="BD12:BE12"/>
    <mergeCell ref="BU14:BV14"/>
    <mergeCell ref="BV20:BW20"/>
    <mergeCell ref="BW18:BX18"/>
    <mergeCell ref="BQ13:BR13"/>
    <mergeCell ref="BU13:BV13"/>
    <mergeCell ref="AK12:AL12"/>
    <mergeCell ref="AI12:AJ12"/>
    <mergeCell ref="AS12:AT12"/>
    <mergeCell ref="BQ14:BR14"/>
    <mergeCell ref="CG22:CH22"/>
    <mergeCell ref="S16:T16"/>
    <mergeCell ref="AQ19:AR19"/>
    <mergeCell ref="AK19:AL19"/>
    <mergeCell ref="AI19:AJ19"/>
    <mergeCell ref="AS19:AT19"/>
    <mergeCell ref="AX19:AZ19"/>
    <mergeCell ref="BA19:BB19"/>
    <mergeCell ref="BD19:BE19"/>
    <mergeCell ref="CD20:CE20"/>
    <mergeCell ref="S17:T17"/>
    <mergeCell ref="Z16:AA16"/>
    <mergeCell ref="Z17:AA17"/>
    <mergeCell ref="CG16:CH16"/>
    <mergeCell ref="S18:T18"/>
    <mergeCell ref="CD16:CE16"/>
    <mergeCell ref="AO17:AP17"/>
    <mergeCell ref="AS17:AT17"/>
    <mergeCell ref="AW17:AX17"/>
    <mergeCell ref="CA22:CC22"/>
    <mergeCell ref="BV22:BW22"/>
    <mergeCell ref="Z18:AA18"/>
    <mergeCell ref="W19:AA19"/>
    <mergeCell ref="BN20:BO20"/>
    <mergeCell ref="BW35:BX35"/>
    <mergeCell ref="BW36:BX36"/>
    <mergeCell ref="BO42:BP42"/>
    <mergeCell ref="BW19:BX19"/>
    <mergeCell ref="BD26:BE26"/>
    <mergeCell ref="BU27:BV27"/>
    <mergeCell ref="BQ28:BR28"/>
    <mergeCell ref="BU28:BV28"/>
    <mergeCell ref="BO43:BP43"/>
    <mergeCell ref="BT30:BU30"/>
    <mergeCell ref="BN30:BO30"/>
    <mergeCell ref="BL30:BM30"/>
    <mergeCell ref="R26:S26"/>
    <mergeCell ref="AX26:AZ26"/>
    <mergeCell ref="BA26:BB26"/>
    <mergeCell ref="AI26:AJ26"/>
    <mergeCell ref="AS26:AT26"/>
    <mergeCell ref="U37:V37"/>
    <mergeCell ref="AA37:AB37"/>
    <mergeCell ref="BN32:BO32"/>
    <mergeCell ref="R27:S27"/>
    <mergeCell ref="AK33:AL33"/>
    <mergeCell ref="AQ33:AR33"/>
    <mergeCell ref="AQ35:AR35"/>
    <mergeCell ref="AK35:AL35"/>
    <mergeCell ref="AI35:AJ35"/>
    <mergeCell ref="AS35:AT35"/>
    <mergeCell ref="AT32:AU32"/>
    <mergeCell ref="CG30:CH30"/>
    <mergeCell ref="CD37:CE37"/>
    <mergeCell ref="CD44:CE44"/>
    <mergeCell ref="CG44:CH44"/>
    <mergeCell ref="BV43:BW43"/>
    <mergeCell ref="CG39:CH39"/>
    <mergeCell ref="AK42:AL42"/>
    <mergeCell ref="AI42:AJ42"/>
    <mergeCell ref="AS42:AT42"/>
    <mergeCell ref="AX42:AZ42"/>
    <mergeCell ref="BA42:BB42"/>
    <mergeCell ref="CD30:CE30"/>
    <mergeCell ref="CD43:CE43"/>
    <mergeCell ref="BO44:BP44"/>
    <mergeCell ref="BV44:BW44"/>
    <mergeCell ref="AW33:AX33"/>
    <mergeCell ref="CA30:CC30"/>
    <mergeCell ref="BN37:BO37"/>
    <mergeCell ref="BV37:BW37"/>
    <mergeCell ref="BT39:BU39"/>
    <mergeCell ref="BN39:BO39"/>
    <mergeCell ref="AX35:AZ35"/>
    <mergeCell ref="BA35:BB35"/>
    <mergeCell ref="BV30:BW30"/>
    <mergeCell ref="AG122:AG123"/>
    <mergeCell ref="CG49:CH49"/>
    <mergeCell ref="AS38:AT38"/>
    <mergeCell ref="AS39:AT39"/>
    <mergeCell ref="AK40:AL40"/>
    <mergeCell ref="AS40:AT40"/>
    <mergeCell ref="BA40:BB40"/>
    <mergeCell ref="CG47:CH47"/>
    <mergeCell ref="AQ42:AR42"/>
    <mergeCell ref="CG43:CH43"/>
    <mergeCell ref="BL39:BM39"/>
    <mergeCell ref="BV39:BW39"/>
    <mergeCell ref="CA39:CC39"/>
    <mergeCell ref="CD39:CE39"/>
    <mergeCell ref="BP49:BQ49"/>
    <mergeCell ref="BX49:BY49"/>
    <mergeCell ref="BP47:BQ47"/>
    <mergeCell ref="AG120:AG121"/>
    <mergeCell ref="AG87:AG89"/>
    <mergeCell ref="AG90:AG96"/>
    <mergeCell ref="AG97:AG99"/>
    <mergeCell ref="AG100:AG102"/>
    <mergeCell ref="AG83:AG86"/>
    <mergeCell ref="BI83:BJ83"/>
    <mergeCell ref="BI3:BM3"/>
    <mergeCell ref="Q6:T6"/>
    <mergeCell ref="W20:AA20"/>
    <mergeCell ref="AG103:AG107"/>
    <mergeCell ref="AG108:AG109"/>
    <mergeCell ref="AG110:AG111"/>
    <mergeCell ref="H26:I26"/>
    <mergeCell ref="R9:S9"/>
    <mergeCell ref="R10:S10"/>
    <mergeCell ref="R7:S7"/>
    <mergeCell ref="R12:S12"/>
    <mergeCell ref="R8:S8"/>
    <mergeCell ref="BD35:BE35"/>
    <mergeCell ref="AK24:AL24"/>
    <mergeCell ref="AS24:AT24"/>
    <mergeCell ref="BA24:BB24"/>
    <mergeCell ref="R11:S11"/>
    <mergeCell ref="AQ26:AR26"/>
    <mergeCell ref="AS22:AT22"/>
    <mergeCell ref="AS15:AT15"/>
    <mergeCell ref="AX12:AZ12"/>
    <mergeCell ref="AA13:AB13"/>
    <mergeCell ref="AA7:AB7"/>
    <mergeCell ref="AQ12:AR12"/>
    <mergeCell ref="AG112:AG116"/>
    <mergeCell ref="AH119:AI119"/>
    <mergeCell ref="AG77:AG78"/>
    <mergeCell ref="BA49:BB49"/>
    <mergeCell ref="BD49:BE49"/>
    <mergeCell ref="AX45:AY45"/>
    <mergeCell ref="BK74:BL74"/>
    <mergeCell ref="BD42:BE42"/>
    <mergeCell ref="AG79:AG82"/>
    <mergeCell ref="AG74:AG76"/>
    <mergeCell ref="AG72:AG73"/>
    <mergeCell ref="BK83:BL83"/>
    <mergeCell ref="BK85:BL85"/>
    <mergeCell ref="AR46:AS46"/>
    <mergeCell ref="AR47:AS47"/>
  </mergeCells>
  <phoneticPr fontId="2" type="noConversion"/>
  <dataValidations count="8">
    <dataValidation type="list" allowBlank="1" showInputMessage="1" showErrorMessage="1" sqref="I16:J17" xr:uid="{BF1C275F-E880-42BD-B356-D643BCF7EAEE}">
      <formula1>$S$72:$S$76</formula1>
    </dataValidation>
    <dataValidation type="list" allowBlank="1" showInputMessage="1" showErrorMessage="1" sqref="W19" xr:uid="{9FB1F3B1-0738-498B-B15E-C9AE429B236A}">
      <formula1>$AG$72:$AG$123</formula1>
    </dataValidation>
    <dataValidation type="list" allowBlank="1" showInputMessage="1" showErrorMessage="1" sqref="U6" xr:uid="{5816C53D-B3B3-465E-A22D-3F5A0984B2E2}">
      <formula1>$M$72:$M$151</formula1>
    </dataValidation>
    <dataValidation type="list" allowBlank="1" showInputMessage="1" showErrorMessage="1" sqref="S18:T18" xr:uid="{FDEFB625-E654-4CC4-8D43-F35C00B4D5F7}">
      <formula1>$G$72:$G$75</formula1>
    </dataValidation>
    <dataValidation type="list" allowBlank="1" showInputMessage="1" showErrorMessage="1" sqref="S16:T16" xr:uid="{690B17A8-AB85-4543-A60C-106502760149}">
      <formula1>$B$72:$B$75</formula1>
    </dataValidation>
    <dataValidation type="list" allowBlank="1" showInputMessage="1" showErrorMessage="1" sqref="S17:T17" xr:uid="{B706DC04-7BD7-4094-9038-9449D06899EA}">
      <formula1>$E$72:$E$73</formula1>
    </dataValidation>
    <dataValidation type="list" allowBlank="1" showInputMessage="1" showErrorMessage="1" sqref="W20" xr:uid="{192815A2-54B9-432B-B489-16A483016CAC}">
      <formula1>INDIRECT($W19)</formula1>
    </dataValidation>
    <dataValidation type="list" allowBlank="1" showInputMessage="1" showErrorMessage="1" sqref="Q6:T6" xr:uid="{5E970BE3-EB8B-4B12-BA69-9FFB88F52C82}">
      <formula1>$M$71:$M$151</formula1>
    </dataValidation>
  </dataValidations>
  <printOptions horizontalCentered="1"/>
  <pageMargins left="0.19685039370078741" right="0.19685039370078741" top="0.19685039370078741" bottom="0.19685039370078741" header="0" footer="0"/>
  <pageSetup scale="85" fitToWidth="0" orientation="portrait" r:id="rId1"/>
  <colBreaks count="1" manualBreakCount="1">
    <brk id="30" min="1" max="53" man="1"/>
  </col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</vt:i4>
      </vt:variant>
      <vt:variant>
        <vt:lpstr>이름 지정된 범위</vt:lpstr>
      </vt:variant>
      <vt:variant>
        <vt:i4>20</vt:i4>
      </vt:variant>
    </vt:vector>
  </HeadingPairs>
  <TitlesOfParts>
    <vt:vector size="21" baseType="lpstr">
      <vt:lpstr>design</vt:lpstr>
      <vt:lpstr>design!Print_Area</vt:lpstr>
      <vt:lpstr>design!계단</vt:lpstr>
      <vt:lpstr>design!공장</vt:lpstr>
      <vt:lpstr>design!광장</vt:lpstr>
      <vt:lpstr>design!기계실</vt:lpstr>
      <vt:lpstr>design!도서관</vt:lpstr>
      <vt:lpstr>design!로비및복도</vt:lpstr>
      <vt:lpstr>design!발코니</vt:lpstr>
      <vt:lpstr>design!병원</vt:lpstr>
      <vt:lpstr>design!사무실</vt:lpstr>
      <vt:lpstr>design!숙박시설</vt:lpstr>
      <vt:lpstr>design!주차장및옥외차도</vt:lpstr>
      <vt:lpstr>design!주택</vt:lpstr>
      <vt:lpstr>design!지붕</vt:lpstr>
      <vt:lpstr>design!집회및유흥장</vt:lpstr>
      <vt:lpstr>design!창고</vt:lpstr>
      <vt:lpstr>design!체육시설</vt:lpstr>
      <vt:lpstr>design!판매장</vt:lpstr>
      <vt:lpstr>design!판매점</vt:lpstr>
      <vt:lpstr>design!학교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정인용</dc:creator>
  <cp:keywords/>
  <dc:description/>
  <cp:lastModifiedBy>정인용</cp:lastModifiedBy>
  <cp:revision/>
  <dcterms:created xsi:type="dcterms:W3CDTF">2022-07-26T05:32:27Z</dcterms:created>
  <dcterms:modified xsi:type="dcterms:W3CDTF">2026-01-09T07:59:45Z</dcterms:modified>
  <cp:category/>
  <cp:contentStatus/>
</cp:coreProperties>
</file>